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e158b83df740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" sheetId="1" r:id="R8e2e62acc66242f2"/>
    <x:sheet xmlns:r="http://schemas.openxmlformats.org/officeDocument/2006/relationships" name="Objetivo" sheetId="3" r:id="Ra61b6c40c9f54af9"/>
    <x:sheet xmlns:r="http://schemas.openxmlformats.org/officeDocument/2006/relationships" name="apoio" sheetId="2" r:id="Rde311ead519f4be3"/>
  </x:sheets>
  <x:definedNames>
    <x:definedName name="aporte">APP!$D$20</x:definedName>
    <x:definedName name="patrimonio">APP!$D$23</x:definedName>
    <x:definedName name="qntd_obj">Objetivo!$D$17</x:definedName>
    <x:definedName name="qtd_anos">APP!$D$21</x:definedName>
    <x:definedName name="rendimento_carteira">APP!$D$14</x:definedName>
    <x:definedName name="salario">APP!$D$13</x:definedName>
    <x:definedName name="sugestao_investimento">APP!$D$15</x:definedName>
    <x:definedName name="taxa_mensal">APP!$D$22</x:definedName>
  </x:definedNames>
</x:workbook>
</file>

<file path=xl/sharedStrings.xml><?xml version="1.0" encoding="utf-8"?>
<x:sst xmlns:x="http://schemas.openxmlformats.org/spreadsheetml/2006/main">
  <x:si>
    <x:t xml:space="preserve">CONFIGURAÇÕES</x:t>
  </x:si>
  <x:si>
    <x:t xml:space="preserve">Salário</x:t>
  </x:si>
  <x:si>
    <x:t xml:space="preserve">Rendimento da carteira</x:t>
  </x:si>
  <x:si>
    <x:t xml:space="preserve">INVESTIMENTO MENSAL</x:t>
  </x:si>
  <x:si>
    <x:t xml:space="preserve">Quanto deseja investir por mês?</x:t>
  </x:si>
  <x:si>
    <x:t xml:space="preserve">Por quantos anos?</x:t>
  </x:si>
  <x:si>
    <x:t xml:space="preserve">Taxa de rendimento mensal?</x:t>
  </x:si>
  <x:si>
    <x:t xml:space="preserve">Patrimônio acumulado?</x:t>
  </x:si>
  <x:si>
    <x:t xml:space="preserve">Dividendos mensais?</x:t>
  </x:si>
  <x:si>
    <x:t xml:space="preserve">CENÁRIOS</x:t>
  </x:si>
  <x:si>
    <x:t xml:space="preserve">DIVIDENDOS</x:t>
  </x:si>
  <x:si>
    <x:t xml:space="preserve">Quanto em 2 anos?</x:t>
  </x:si>
  <x:si>
    <x:t xml:space="preserve">Quanto em 5 anos?</x:t>
  </x:si>
  <x:si>
    <x:t xml:space="preserve">Quanto em 10 anos?</x:t>
  </x:si>
  <x:si>
    <x:t xml:space="preserve">Quanto em 30 anos?</x:t>
  </x:si>
  <x:si>
    <x:t xml:space="preserve">PERFIL</x:t>
  </x:si>
  <x:si>
    <x:t xml:space="preserve">VALOR A SER INVESTIDO POR MÊS</x:t>
  </x:si>
  <x:si>
    <x:t xml:space="preserve">TIPO DE FII</x:t>
  </x:si>
  <x:si>
    <x:t xml:space="preserve">Percentual Sugerido</x:t>
  </x:si>
  <x:si>
    <x:t xml:space="preserve">Valores</x:t>
  </x:si>
  <x:si>
    <x:t xml:space="preserve">PAPEL</x:t>
  </x:si>
  <x:si>
    <x:t xml:space="preserve">TIJOLO</x:t>
  </x:si>
  <x:si>
    <x:t xml:space="preserve">HÍBRIDOS</x:t>
  </x:si>
  <x:si>
    <x:t xml:space="preserve">FOF</x:t>
  </x:si>
  <x:si>
    <x:t xml:space="preserve">DESENVOLVIMENTO</x:t>
  </x:si>
  <x:si>
    <x:t xml:space="preserve">HOTELARIAS</x:t>
  </x:si>
  <x:si>
    <x:t xml:space="preserve">VISUALIZANDO O SONHO</x:t>
  </x:si>
  <x:si>
    <x:t xml:space="preserve">Você tem um objetivo que é difícil de visualizar em como alcançar?</x:t>
  </x:si>
  <x:si>
    <x:t xml:space="preserve">Você sabe quanto o seu sonho custa?</x:t>
  </x:si>
  <x:si>
    <x:t xml:space="preserve">Sabe quanto por quanto tempo precisa juntar dinheiro para realizá-lo?</x:t>
  </x:si>
  <x:si>
    <x:r>
      <x:t xml:space="preserve">Pode ser uma casa, um carro, uma viagem... </x:t>
    </x:r>
    <x:r>
      <x:rPr>
        <x:b/>
        <x:sz val="12"/>
        <x:color theme="1"/>
        <x:rFont val="Aptos"/>
        <x:family val="2"/>
      </x:rPr>
      <x:t xml:space="preserve">Não importa!</x:t>
    </x:r>
    <x:r>
      <x:rPr>
        <x:sz val="12"/>
        <x:color theme="1"/>
        <x:rFont val="Aptos"/>
        <x:family val="2"/>
      </x:rPr>
      <x:t xml:space="preserve"> </x:t>
    </x:r>
  </x:si>
  <x:si>
    <x:t xml:space="preserve">Aqui eu vou te ajudar a visualizar o seu sonho!</x:t>
  </x:si>
  <x:si>
    <x:t xml:space="preserve">Não altere as células cinzas.</x:t>
  </x:si>
  <x:si>
    <x:t xml:space="preserve">OBJETIVO</x:t>
  </x:si>
  <x:si>
    <x:t xml:space="preserve">VALOR QUE VOCÊ QUER GUARDAR</x:t>
  </x:si>
  <x:si>
    <x:t xml:space="preserve">QUANTOS ANOS PRETENDE GUARDAR</x:t>
  </x:si>
  <x:si>
    <x:t xml:space="preserve">QUANTO VALE O SEU OBJETIVO</x:t>
  </x:si>
  <x:si>
    <x:t xml:space="preserve">CENÁRIO</x:t>
  </x:si>
  <x:si>
    <x:t xml:space="preserve">SEM INVESTIMENTO</x:t>
  </x:si>
  <x:si>
    <x:t xml:space="preserve">COM INVESTIMENTO FII</x:t>
  </x:si>
  <x:si>
    <x:t xml:space="preserve">Patrimônio acumulado</x:t>
  </x:si>
  <x:si>
    <x:t xml:space="preserve">Percentual alcançado</x:t>
  </x:si>
  <x:si>
    <x:t xml:space="preserve">Quanto falta</x:t>
  </x:si>
  <x:si>
    <x:t xml:space="preserve">CHAVE</x:t>
  </x:si>
  <x:si>
    <x:t xml:space="preserve">%</x:t>
  </x:si>
  <x:si>
    <x:t xml:space="preserve">Conservador</x:t>
  </x:si>
  <x:si>
    <x:t xml:space="preserve">Moderado-TIJOLO</x:t>
  </x:si>
  <x:si>
    <x:t xml:space="preserve">Moderado</x:t>
  </x:si>
  <x:si>
    <x:t xml:space="preserve">Agressivo</x:t>
  </x:si>
</x:sst>
</file>

<file path=xl/styles.xml><?xml version="1.0" encoding="utf-8"?>
<x:styleSheet xmlns:x="http://schemas.openxmlformats.org/spreadsheetml/2006/main">
  <x:numFmts count="6">
    <x:numFmt numFmtId="8" formatCode="&quot;R$&quot;\ #,##0.00;[Red]\-&quot;R$&quot;\ #,##0.00"/>
    <x:numFmt numFmtId="44" formatCode="_-&quot;R$&quot;\ * #,##0.00_-;\-&quot;R$&quot;\ * #,##0.00_-;_-&quot;R$&quot;\ * &quot;-&quot;??_-;_-@_-"/>
    <x:numFmt numFmtId="164" formatCode="&quot;R$&quot;\ #,##0.00"/>
    <x:numFmt numFmtId="172" formatCode="0.0%"/>
    <x:numFmt numFmtId="200" formatCode="0.00%"/>
    <x:numFmt numFmtId="201" formatCode="0%"/>
  </x:numFmts>
  <x:fonts count="21">
    <x:font>
      <x:sz val="11"/>
      <x:color theme="1"/>
      <x:name val="Aptos Narrow"/>
      <x:family val="2"/>
      <x:scheme val="minor"/>
    </x:font>
    <x:font>
      <x:sz val="11"/>
      <x:color theme="1"/>
      <x:name val="Aptos Narrow"/>
      <x:family val="2"/>
      <x:scheme val="minor"/>
    </x:font>
    <x:font>
      <x:sz val="11"/>
      <x:color rgb="FF9C5700"/>
      <x:name val="Aptos Narrow"/>
      <x:family val="2"/>
      <x:scheme val="minor"/>
    </x:font>
    <x:font>
      <x:sz val="11"/>
      <x:color theme="0"/>
      <x:name val="Aptos Narrow"/>
      <x:family val="2"/>
      <x:scheme val="minor"/>
    </x:font>
    <x:font>
      <x:sz val="11"/>
      <x:color theme="1"/>
      <x:name val="Aharoni"/>
    </x:font>
    <x:font>
      <x:b/>
      <x:sz val="12"/>
      <x:color theme="0"/>
      <x:name val="Aptos Narrow"/>
      <x:family val="2"/>
      <x:scheme val="minor"/>
    </x:font>
    <x:font>
      <x:sz val="12"/>
      <x:color theme="1"/>
      <x:name val="Aptos"/>
      <x:family val="2"/>
    </x:font>
    <x:font>
      <x:sz val="11"/>
      <x:color theme="1"/>
      <x:name val="Aptos"/>
      <x:family val="2"/>
    </x:font>
    <x:font>
      <x:b/>
      <x:sz val="12"/>
      <x:color theme="1"/>
      <x:name val="Aptos"/>
      <x:family val="2"/>
    </x:font>
    <x:font>
      <x:b/>
      <x:sz val="11"/>
      <x:color theme="1"/>
      <x:name val="Aptos Narrow"/>
      <x:family val="2"/>
      <x:scheme val="minor"/>
    </x:font>
    <x:font>
      <x:b/>
      <x:sz val="12"/>
      <x:color rgb="FF9C5700"/>
      <x:name val="Aptos"/>
      <x:family val="2"/>
    </x:font>
    <x:font>
      <x:sz val="12"/>
      <x:color rgb="FF9C5700"/>
      <x:name val="Aptos"/>
      <x:family val="2"/>
    </x:font>
    <x:font>
      <x:b/>
      <x:sz val="14"/>
      <x:color theme="0"/>
      <x:name val="Aptos"/>
      <x:family val="2"/>
    </x:font>
    <x:font>
      <x:sz val="12"/>
      <x:color theme="1"/>
      <x:name val="Aptos  "/>
    </x:font>
    <x:font>
      <x:sz val="11"/>
      <x:color theme="1"/>
      <x:name val="Aptos  "/>
    </x:font>
    <x:font>
      <x:b/>
      <x:sz val="11"/>
      <x:color theme="0"/>
      <x:name val="Aptos"/>
      <x:family val="2"/>
    </x:font>
    <x:font>
      <x:b/>
      <x:sz val="12"/>
      <x:color theme="0"/>
      <x:name val="Aptos"/>
      <x:family val="2"/>
    </x:font>
    <x:font>
      <x:i/>
      <x:sz val="14"/>
      <x:color theme="1"/>
      <x:name val="Aptos"/>
      <x:family val="2"/>
    </x:font>
    <x:font>
      <x:i/>
      <x:sz val="12"/>
      <x:color theme="1"/>
      <x:name val="Aptos"/>
      <x:family val="2"/>
    </x:font>
    <x:font>
      <x:b/>
      <x:i/>
      <x:sz val="12"/>
      <x:color theme="1"/>
      <x:name val="Aptos"/>
      <x:family val="2"/>
    </x:font>
    <x:font>
      <x:i/>
      <x:sz val="11"/>
      <x:color rgb="FFFF0000"/>
      <x:name val="Aptos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rgb="FFFFEB9C"/>
      </x:patternFill>
    </x:fill>
    <x:fill>
      <x:patternFill patternType="solid">
        <x:fgColor theme="9" tint="0.39998"/>
      </x:patternFill>
    </x:fill>
    <x:fill>
      <x:patternFill patternType="solid">
        <x:fgColor theme="0" tint="-0.04999"/>
      </x:patternFill>
    </x:fill>
    <x:fill>
      <x:patternFill patternType="solid">
        <x:fgColor theme="0" tint="-0.15"/>
      </x:patternFill>
    </x:fill>
    <x:fill>
      <x:patternFill patternType="solid">
        <x:fgColor theme="0" tint="-0.24998"/>
      </x:patternFill>
    </x:fill>
    <x:fill>
      <x:patternFill patternType="solid">
        <x:fgColor rgb="FF002060"/>
      </x:patternFill>
    </x:fill>
    <x:fill>
      <x:patternFill patternType="solid">
        <x:fgColor rgb="FFFFFFCC"/>
      </x:patternFill>
    </x:fill>
    <x:fill>
      <x:patternFill patternType="solid">
        <x:fgColor theme="0"/>
      </x:patternFill>
    </x:fill>
    <x:fill>
      <x:patternFill patternType="solid">
        <x:fgColor rgb="FFD9D9D9"/>
      </x:patternFill>
    </x:fill>
  </x:fills>
  <x:borders count="38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 style="thin">
        <x:color theme="0" tint="-0.24995"/>
      </x:right>
      <x:top/>
      <x:bottom style="thin">
        <x:color theme="0" tint="-0.24995"/>
      </x:bottom>
      <x:diagonal/>
    </x:border>
    <x:border>
      <x:left style="thin">
        <x:color theme="0" tint="-0.24995"/>
      </x:left>
      <x:right style="thin">
        <x:color theme="0" tint="-0.24995"/>
      </x:right>
      <x:top/>
      <x:bottom style="thin">
        <x:color theme="0" tint="-0.24995"/>
      </x:bottom>
      <x:diagonal/>
    </x:border>
    <x:border>
      <x:left style="thin">
        <x:color theme="0" tint="-0.24995"/>
      </x:left>
      <x:right style="medium">
        <x:color indexed="64"/>
      </x:right>
      <x:top/>
      <x:bottom style="thin">
        <x:color theme="0" tint="-0.24995"/>
      </x:bottom>
      <x:diagonal/>
    </x:border>
    <x:border>
      <x:left style="medium">
        <x:color indexed="64"/>
      </x:left>
      <x:right style="thin">
        <x:color theme="0" tint="-0.24995"/>
      </x:right>
      <x:top style="thin">
        <x:color theme="0" tint="-0.24995"/>
      </x:top>
      <x:bottom style="thin">
        <x:color theme="0" tint="-0.24995"/>
      </x:bottom>
      <x:diagonal/>
    </x:border>
    <x:border>
      <x:left style="thin">
        <x:color theme="0" tint="-0.24995"/>
      </x:left>
      <x:right style="thin">
        <x:color theme="0" tint="-0.24995"/>
      </x:right>
      <x:top style="thin">
        <x:color theme="0" tint="-0.24995"/>
      </x:top>
      <x:bottom style="thin">
        <x:color theme="0" tint="-0.24995"/>
      </x:bottom>
      <x:diagonal/>
    </x:border>
    <x:border>
      <x:left style="thin">
        <x:color theme="0" tint="-0.24995"/>
      </x:left>
      <x:right style="medium">
        <x:color indexed="64"/>
      </x:right>
      <x:top style="thin">
        <x:color theme="0" tint="-0.24995"/>
      </x:top>
      <x:bottom style="thin">
        <x:color theme="0" tint="-0.24995"/>
      </x:bottom>
      <x:diagonal/>
    </x:border>
    <x:border>
      <x:left style="medium">
        <x:color indexed="64"/>
      </x:left>
      <x:right style="thin">
        <x:color theme="0" tint="-0.24995"/>
      </x:right>
      <x:top style="thin">
        <x:color theme="0" tint="-0.24995"/>
      </x:top>
      <x:bottom style="medium">
        <x:color indexed="64"/>
      </x:bottom>
      <x:diagonal/>
    </x:border>
    <x:border>
      <x:left style="thin">
        <x:color theme="0" tint="-0.24995"/>
      </x:left>
      <x:right style="thin">
        <x:color theme="0" tint="-0.24995"/>
      </x:right>
      <x:top style="thin">
        <x:color theme="0" tint="-0.24995"/>
      </x:top>
      <x:bottom style="medium">
        <x:color indexed="64"/>
      </x:bottom>
      <x:diagonal/>
    </x:border>
    <x:border>
      <x:left style="thin">
        <x:color theme="0" tint="-0.24995"/>
      </x:left>
      <x:right style="medium">
        <x:color indexed="64"/>
      </x:right>
      <x:top style="thin">
        <x:color theme="0" tint="-0.24995"/>
      </x:top>
      <x:bottom style="medium">
        <x:color indexed="64"/>
      </x:bottom>
      <x:diagonal/>
    </x:border>
    <x:border>
      <x:left style="thin">
        <x:color theme="0" tint="-0.24995"/>
      </x:left>
      <x:right style="medium">
        <x:color indexed="64"/>
      </x:right>
      <x:top style="hair">
        <x:color theme="0" tint="-0.24995"/>
      </x:top>
      <x:bottom style="thin">
        <x:color theme="0" tint="-0.24995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 style="medium">
        <x:color indexed="64"/>
      </x:left>
      <x:right style="thin">
        <x:color rgb="FFB2B2B2"/>
      </x:right>
      <x:top style="medium">
        <x:color indexed="64"/>
      </x:top>
      <x:bottom style="thin">
        <x:color rgb="FFB2B2B2"/>
      </x:bottom>
      <x:diagonal/>
    </x:border>
    <x:border>
      <x:left style="thin">
        <x:color rgb="FFB2B2B2"/>
      </x:left>
      <x:right style="thin">
        <x:color rgb="FFB2B2B2"/>
      </x:right>
      <x:top style="medium">
        <x:color indexed="64"/>
      </x:top>
      <x:bottom style="thin">
        <x:color rgb="FFB2B2B2"/>
      </x:bottom>
      <x:diagonal/>
    </x:border>
    <x:border>
      <x:left style="thin">
        <x:color rgb="FFB2B2B2"/>
      </x:left>
      <x:right style="medium">
        <x:color indexed="64"/>
      </x:right>
      <x:top style="medium">
        <x:color indexed="64"/>
      </x:top>
      <x:bottom style="thin">
        <x:color rgb="FFB2B2B2"/>
      </x:bottom>
      <x:diagonal/>
    </x:border>
    <x:border>
      <x:left style="medium">
        <x:color indexed="64"/>
      </x:left>
      <x:right/>
      <x:top/>
      <x:bottom/>
      <x:diagonal/>
    </x:border>
    <x:border>
      <x:left style="medium">
        <x:color indexed="64"/>
      </x:left>
      <x:right style="dashed">
        <x:color theme="0" tint="-0.14997"/>
      </x:right>
      <x:top style="thin">
        <x:color rgb="FFB2B2B2"/>
      </x:top>
      <x:bottom style="dashed">
        <x:color theme="0" tint="-0.14997"/>
      </x:bottom>
      <x:diagonal/>
    </x:border>
    <x:border>
      <x:left style="dashed">
        <x:color theme="0" tint="-0.14997"/>
      </x:left>
      <x:right style="dashed">
        <x:color theme="0" tint="-0.14997"/>
      </x:right>
      <x:top style="thin">
        <x:color rgb="FFB2B2B2"/>
      </x:top>
      <x:bottom style="dashed">
        <x:color theme="0" tint="-0.14997"/>
      </x:bottom>
      <x:diagonal/>
    </x:border>
    <x:border>
      <x:left style="dashed">
        <x:color theme="0" tint="-0.14997"/>
      </x:left>
      <x:right style="medium">
        <x:color indexed="64"/>
      </x:right>
      <x:top style="thin">
        <x:color rgb="FFB2B2B2"/>
      </x:top>
      <x:bottom style="dashed">
        <x:color theme="0" tint="-0.14997"/>
      </x:bottom>
      <x:diagonal/>
    </x:border>
    <x:border>
      <x:left style="medium">
        <x:color indexed="64"/>
      </x:left>
      <x:right style="dashed">
        <x:color theme="0" tint="-0.14997"/>
      </x:right>
      <x:top style="dashed">
        <x:color theme="0" tint="-0.14997"/>
      </x:top>
      <x:bottom style="dashed">
        <x:color theme="0" tint="-0.14997"/>
      </x:bottom>
      <x:diagonal/>
    </x:border>
    <x:border>
      <x:left style="dashed">
        <x:color theme="0" tint="-0.14997"/>
      </x:left>
      <x:right style="dashed">
        <x:color theme="0" tint="-0.14997"/>
      </x:right>
      <x:top style="dashed">
        <x:color theme="0" tint="-0.14997"/>
      </x:top>
      <x:bottom style="dashed">
        <x:color theme="0" tint="-0.14997"/>
      </x:bottom>
      <x:diagonal/>
    </x:border>
    <x:border>
      <x:left style="dashed">
        <x:color theme="0" tint="-0.14997"/>
      </x:left>
      <x:right style="medium">
        <x:color indexed="64"/>
      </x:right>
      <x:top style="dashed">
        <x:color theme="0" tint="-0.14997"/>
      </x:top>
      <x:bottom style="dashed">
        <x:color theme="0" tint="-0.14997"/>
      </x:bottom>
      <x:diagonal/>
    </x:border>
    <x:border>
      <x:left style="medium">
        <x:color indexed="64"/>
      </x:left>
      <x:right style="dashed">
        <x:color theme="0" tint="-0.14997"/>
      </x:right>
      <x:top style="dashed">
        <x:color theme="0" tint="-0.14997"/>
      </x:top>
      <x:bottom style="medium">
        <x:color indexed="64"/>
      </x:bottom>
      <x:diagonal/>
    </x:border>
    <x:border>
      <x:left style="dashed">
        <x:color theme="0" tint="-0.14997"/>
      </x:left>
      <x:right style="dashed">
        <x:color theme="0" tint="-0.14997"/>
      </x:right>
      <x:top style="dashed">
        <x:color theme="0" tint="-0.14997"/>
      </x:top>
      <x:bottom style="medium">
        <x:color indexed="64"/>
      </x:bottom>
      <x:diagonal/>
    </x:border>
    <x:border>
      <x:left style="dashed">
        <x:color theme="0" tint="-0.14997"/>
      </x:left>
      <x:right style="medium">
        <x:color indexed="64"/>
      </x:right>
      <x:top style="dashed">
        <x:color theme="0" tint="-0.14997"/>
      </x:top>
      <x:bottom style="medium">
        <x:color indexed="64"/>
      </x:bottom>
      <x:diagonal/>
    </x:border>
    <x:border>
      <x:left style="dashed">
        <x:color theme="0" tint="-0.14997"/>
      </x:left>
      <x:right style="medium">
        <x:color indexed="64"/>
      </x:right>
      <x:top/>
      <x:bottom style="dashed">
        <x:color theme="0" tint="-0.14997"/>
      </x:bottom>
      <x:diagonal/>
    </x:border>
    <x:border>
      <x:left style="medium">
        <x:color indexed="64"/>
      </x:left>
      <x:right/>
      <x:top style="dashed">
        <x:color theme="0" tint="-0.14997"/>
      </x:top>
      <x:bottom style="medium">
        <x:color indexed="64"/>
      </x:bottom>
      <x:diagonal/>
    </x:border>
    <x:border>
      <x:left/>
      <x:right style="dashed">
        <x:color theme="0" tint="-0.14997"/>
      </x:right>
      <x:top style="dashed">
        <x:color theme="0" tint="-0.14997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dashed">
        <x:color theme="0" tint="-0.14997"/>
      </x:bottom>
      <x:diagonal/>
    </x:border>
    <x:border>
      <x:left/>
      <x:right style="dashed">
        <x:color theme="0" tint="-0.14997"/>
      </x:right>
      <x:top/>
      <x:bottom style="dashed">
        <x:color theme="0" tint="-0.14997"/>
      </x:bottom>
      <x:diagonal/>
    </x:border>
    <x:border>
      <x:left style="medium">
        <x:color indexed="64"/>
      </x:left>
      <x:right/>
      <x:top style="dashed">
        <x:color theme="0" tint="-0.14997"/>
      </x:top>
      <x:bottom style="dashed">
        <x:color theme="0" tint="-0.14997"/>
      </x:bottom>
      <x:diagonal/>
    </x:border>
    <x:border>
      <x:left/>
      <x:right style="dashed">
        <x:color theme="0" tint="-0.14997"/>
      </x:right>
      <x:top style="dashed">
        <x:color theme="0" tint="-0.14997"/>
      </x:top>
      <x:bottom style="dashed">
        <x:color theme="0" tint="-0.14997"/>
      </x:bottom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dashed">
        <x:color theme="0" tint="-0.14997"/>
      </x:right>
      <x:top/>
      <x:bottom style="dashed">
        <x:color theme="0" tint="-0.14997"/>
      </x:bottom>
      <x:diagonal/>
    </x:border>
    <x:border>
      <x:left style="dashed">
        <x:color theme="0" tint="-0.14997"/>
      </x:left>
      <x:right style="dashed">
        <x:color theme="0" tint="-0.14997"/>
      </x:right>
      <x:top/>
      <x:bottom style="dashed">
        <x:color theme="0" tint="-0.14997"/>
      </x:bottom>
      <x:diagonal/>
    </x:border>
  </x:borders>
  <x:cellStyleXfs count="5">
    <x:xf numFmtId="0" fontId="0" fillId="0" borderId="0"/>
    <x:xf numFmtId="44" fontId="1" fillId="0" borderId="0" applyFont="0" applyFill="0" applyBorder="0" applyAlignment="0" applyProtection="0"/>
    <x:xf numFmtId="0" fontId="2" fillId="2" borderId="0" applyNumberFormat="0" applyBorder="0" applyAlignment="0" applyProtection="0"/>
    <x:xf numFmtId="0" fontId="1" fillId="8" borderId="14" applyNumberFormat="0" applyFont="0" applyAlignment="0" applyProtection="0"/>
    <x:xf numFmtId="9" fontId="1" fillId="0" borderId="0" applyFont="0" applyFill="0" applyBorder="0" applyAlignment="0" applyProtection="0"/>
  </x:cellStyleXfs>
  <x:cellXfs count="120">
    <x:xf numFmtId="0" fontId="0" fillId="0" borderId="0" xfId="0"/>
    <x:xf numFmtId="0" fontId="4" fillId="0" borderId="0" xfId="0" applyFont="1"/>
    <x:xf numFmtId="0" fontId="3" fillId="0" borderId="0" xfId="0" applyFont="1"/>
    <x:xf numFmtId="0" fontId="5" fillId="3" borderId="2" xfId="0" applyFont="1" applyFill="1" applyBorder="1" applyAlignment="1">
      <x:alignment horizontal="center" vertical="center"/>
    </x:xf>
    <x:xf numFmtId="0" fontId="6" fillId="4" borderId="4" xfId="0" applyFont="1" applyFill="1" applyBorder="1" applyAlignment="1">
      <x:alignment horizontal="left"/>
    </x:xf>
    <x:xf numFmtId="8" fontId="7" fillId="4" borderId="5" xfId="0" applyNumberFormat="1" applyFont="1" applyFill="1" applyBorder="1" applyAlignment="1">
      <x:alignment horizontal="center"/>
    </x:xf>
    <x:xf numFmtId="8" fontId="7" fillId="4" borderId="6" xfId="0" applyNumberFormat="1" applyFont="1" applyFill="1" applyBorder="1" applyAlignment="1">
      <x:alignment horizontal="center"/>
    </x:xf>
    <x:xf numFmtId="0" fontId="6" fillId="4" borderId="7" xfId="0" applyFont="1" applyFill="1" applyBorder="1" applyAlignment="1">
      <x:alignment horizontal="left"/>
    </x:xf>
    <x:xf numFmtId="8" fontId="7" fillId="4" borderId="8" xfId="0" applyNumberFormat="1" applyFont="1" applyFill="1" applyBorder="1" applyAlignment="1">
      <x:alignment horizontal="center"/>
    </x:xf>
    <x:xf numFmtId="8" fontId="7" fillId="4" borderId="9" xfId="0" applyNumberFormat="1" applyFont="1" applyFill="1" applyBorder="1" applyAlignment="1">
      <x:alignment horizontal="center"/>
    </x:xf>
    <x:xf numFmtId="0" fontId="6" fillId="4" borderId="10" xfId="0" applyFont="1" applyFill="1" applyBorder="1" applyAlignment="1">
      <x:alignment horizontal="left"/>
    </x:xf>
    <x:xf numFmtId="8" fontId="7" fillId="4" borderId="11" xfId="0" applyNumberFormat="1" applyFont="1" applyFill="1" applyBorder="1" applyAlignment="1">
      <x:alignment horizontal="center"/>
    </x:xf>
    <x:xf numFmtId="8" fontId="7" fillId="4" borderId="12" xfId="0" applyNumberFormat="1" applyFont="1" applyFill="1" applyBorder="1" applyAlignment="1">
      <x:alignment horizontal="center"/>
    </x:xf>
    <x:xf numFmtId="164" fontId="7" fillId="0" borderId="6" xfId="1" applyNumberFormat="1" applyFont="1" applyBorder="1" applyAlignment="1">
      <x:alignment horizontal="center"/>
    </x:xf>
    <x:xf numFmtId="10" fontId="7" fillId="0" borderId="9" xfId="0" applyNumberFormat="1" applyFont="1" applyBorder="1" applyAlignment="1">
      <x:alignment horizontal="center"/>
    </x:xf>
    <x:xf numFmtId="164" fontId="7" fillId="0" borderId="12" xfId="1" applyNumberFormat="1" applyFont="1" applyBorder="1" applyAlignment="1">
      <x:alignment horizontal="center"/>
    </x:xf>
    <x:xf numFmtId="164" fontId="8" fillId="0" borderId="13" xfId="1" applyNumberFormat="1" applyFont="1" applyBorder="1" applyAlignment="1">
      <x:alignment horizontal="center"/>
    </x:xf>
    <x:xf numFmtId="0" fontId="8" fillId="0" borderId="9" xfId="0" applyFont="1" applyBorder="1" applyAlignment="1">
      <x:alignment horizontal="center"/>
    </x:xf>
    <x:xf numFmtId="10" fontId="8" fillId="0" borderId="9" xfId="0" applyNumberFormat="1" applyFont="1" applyBorder="1" applyAlignment="1">
      <x:alignment horizontal="center"/>
    </x:xf>
    <x:xf numFmtId="8" fontId="8" fillId="5" borderId="9" xfId="0" applyNumberFormat="1" applyFont="1" applyFill="1" applyBorder="1" applyAlignment="1">
      <x:alignment horizontal="center"/>
    </x:xf>
    <x:xf numFmtId="8" fontId="8" fillId="5" borderId="12" xfId="0" applyNumberFormat="1" applyFont="1" applyFill="1" applyBorder="1" applyAlignment="1">
      <x:alignment horizontal="center"/>
    </x:xf>
    <x:xf numFmtId="0" fontId="0" fillId="0" borderId="0" xfId="0" applyAlignment="1">
      <x:alignment horizontal="center"/>
    </x:xf>
    <x:xf numFmtId="0" fontId="2" fillId="8" borderId="14" xfId="3" applyFont="1" applyAlignment="1">
      <x:alignment horizontal="center"/>
    </x:xf>
    <x:xf numFmtId="9" fontId="2" fillId="8" borderId="14" xfId="3" applyNumberFormat="1" applyFont="1" applyAlignment="1">
      <x:alignment horizontal="center"/>
    </x:xf>
    <x:xf numFmtId="0" fontId="9" fillId="8" borderId="15" xfId="3" applyFont="1" applyBorder="1" applyAlignment="1">
      <x:alignment horizontal="center"/>
    </x:xf>
    <x:xf numFmtId="0" fontId="9" fillId="8" borderId="16" xfId="3" applyFont="1" applyBorder="1" applyAlignment="1">
      <x:alignment horizontal="center"/>
    </x:xf>
    <x:xf numFmtId="0" fontId="9" fillId="8" borderId="17" xfId="3" applyFont="1" applyBorder="1" applyAlignment="1">
      <x:alignment horizontal="center"/>
    </x:xf>
    <x:xf numFmtId="0" fontId="0" fillId="4" borderId="19" xfId="0" applyFill="1" applyBorder="1"/>
    <x:xf numFmtId="0" fontId="0" fillId="4" borderId="20" xfId="0" applyFill="1" applyBorder="1"/>
    <x:xf numFmtId="0" fontId="0" fillId="4" borderId="20" xfId="0" applyFill="1" applyBorder="1" applyAlignment="1">
      <x:alignment horizontal="center"/>
    </x:xf>
    <x:xf numFmtId="9" fontId="0" fillId="4" borderId="21" xfId="0" applyNumberFormat="1" applyFill="1" applyBorder="1" applyAlignment="1">
      <x:alignment horizontal="center"/>
    </x:xf>
    <x:xf numFmtId="0" fontId="0" fillId="4" borderId="22" xfId="0" applyFill="1" applyBorder="1"/>
    <x:xf numFmtId="0" fontId="0" fillId="4" borderId="23" xfId="0" applyFill="1" applyBorder="1"/>
    <x:xf numFmtId="0" fontId="0" fillId="4" borderId="23" xfId="0" applyFill="1" applyBorder="1" applyAlignment="1">
      <x:alignment horizontal="center"/>
    </x:xf>
    <x:xf numFmtId="9" fontId="0" fillId="4" borderId="24" xfId="0" applyNumberFormat="1" applyFill="1" applyBorder="1" applyAlignment="1">
      <x:alignment horizontal="center"/>
    </x:xf>
    <x:xf numFmtId="0" fontId="0" fillId="4" borderId="25" xfId="0" applyFill="1" applyBorder="1"/>
    <x:xf numFmtId="0" fontId="0" fillId="4" borderId="26" xfId="0" applyFill="1" applyBorder="1"/>
    <x:xf numFmtId="0" fontId="0" fillId="4" borderId="26" xfId="0" applyFill="1" applyBorder="1" applyAlignment="1">
      <x:alignment horizontal="center"/>
    </x:xf>
    <x:xf numFmtId="9" fontId="0" fillId="4" borderId="27" xfId="0" applyNumberFormat="1" applyFill="1" applyBorder="1" applyAlignment="1">
      <x:alignment horizontal="center"/>
    </x:xf>
    <x:xf numFmtId="0" fontId="10" fillId="2" borderId="0" xfId="2" applyFont="1"/>
    <x:xf numFmtId="0" fontId="10" fillId="2" borderId="0" xfId="2" applyFont="1" applyAlignment="1">
      <x:alignment horizontal="center"/>
    </x:xf>
    <x:xf numFmtId="0" fontId="11" fillId="2" borderId="0" xfId="2" applyFont="1"/>
    <x:xf numFmtId="0" fontId="8" fillId="4" borderId="0" xfId="0" applyFont="1" applyFill="1"/>
    <x:xf numFmtId="164" fontId="8" fillId="4" borderId="0" xfId="0" applyNumberFormat="1" applyFont="1" applyFill="1" applyAlignment="1">
      <x:alignment horizontal="center"/>
    </x:xf>
    <x:xf numFmtId="0" fontId="6" fillId="0" borderId="0" xfId="0" applyFont="1"/>
    <x:xf numFmtId="164" fontId="6" fillId="4" borderId="0" xfId="0" applyNumberFormat="1" applyFont="1" applyFill="1" applyAlignment="1">
      <x:alignment horizontal="center"/>
    </x:xf>
    <x:xf numFmtId="0" fontId="6" fillId="6" borderId="0" xfId="0" applyFont="1" applyFill="1"/>
    <x:xf numFmtId="0" fontId="6" fillId="4" borderId="0" xfId="0" applyFont="1" applyFill="1" applyAlignment="1">
      <x:alignment horizontal="left"/>
    </x:xf>
    <x:xf numFmtId="9" fontId="6" fillId="4" borderId="0" xfId="0" applyNumberFormat="1" applyFont="1" applyFill="1" applyAlignment="1">
      <x:alignment horizontal="center"/>
    </x:xf>
    <x:xf numFmtId="0" fontId="8" fillId="6" borderId="0" xfId="0" applyFont="1" applyFill="1" applyAlignment="1">
      <x:alignment horizontal="center"/>
    </x:xf>
    <x:xf numFmtId="164" fontId="8" fillId="6" borderId="0" xfId="0" applyNumberFormat="1" applyFont="1" applyFill="1" applyAlignment="1">
      <x:alignment horizontal="center"/>
    </x:xf>
    <x:xf numFmtId="0" fontId="12" fillId="7" borderId="0" xfId="0" applyFont="1" applyFill="1" applyAlignment="1">
      <x:alignment horizontal="center" vertical="center"/>
    </x:xf>
    <x:xf numFmtId="0" fontId="6" fillId="4" borderId="7" xfId="0" applyFont="1" applyFill="1" applyBorder="1" applyAlignment="1">
      <x:alignment horizontal="left"/>
    </x:xf>
    <x:xf numFmtId="0" fontId="6" fillId="4" borderId="8" xfId="0" applyFont="1" applyFill="1" applyBorder="1" applyAlignment="1">
      <x:alignment horizontal="left"/>
    </x:xf>
    <x:xf numFmtId="0" fontId="12" fillId="3" borderId="1" xfId="0" applyFont="1" applyFill="1" applyBorder="1" applyAlignment="1">
      <x:alignment horizontal="center" vertical="center"/>
    </x:xf>
    <x:xf numFmtId="0" fontId="12" fillId="3" borderId="3" xfId="0" applyFont="1" applyFill="1" applyBorder="1" applyAlignment="1">
      <x:alignment horizontal="center" vertical="center"/>
    </x:xf>
    <x:xf numFmtId="0" fontId="12" fillId="3" borderId="2" xfId="0" applyFont="1" applyFill="1" applyBorder="1" applyAlignment="1">
      <x:alignment horizontal="center" vertical="center"/>
    </x:xf>
    <x:xf numFmtId="0" fontId="8" fillId="5" borderId="7" xfId="0" applyFont="1" applyFill="1" applyBorder="1" applyAlignment="1">
      <x:alignment horizontal="left"/>
    </x:xf>
    <x:xf numFmtId="0" fontId="8" fillId="5" borderId="8" xfId="0" applyFont="1" applyFill="1" applyBorder="1" applyAlignment="1">
      <x:alignment horizontal="left"/>
    </x:xf>
    <x:xf numFmtId="0" fontId="8" fillId="5" borderId="10" xfId="0" applyFont="1" applyFill="1" applyBorder="1" applyAlignment="1">
      <x:alignment horizontal="left"/>
    </x:xf>
    <x:xf numFmtId="0" fontId="8" fillId="5" borderId="11" xfId="0" applyFont="1" applyFill="1" applyBorder="1" applyAlignment="1">
      <x:alignment horizontal="left"/>
    </x:xf>
    <x:xf numFmtId="0" fontId="12" fillId="7" borderId="1" xfId="0" applyFont="1" applyFill="1" applyBorder="1" applyAlignment="1">
      <x:alignment horizontal="center" vertical="center"/>
    </x:xf>
    <x:xf numFmtId="0" fontId="12" fillId="7" borderId="3" xfId="0" applyFont="1" applyFill="1" applyBorder="1" applyAlignment="1">
      <x:alignment horizontal="center" vertical="center"/>
    </x:xf>
    <x:xf numFmtId="0" fontId="12" fillId="7" borderId="2" xfId="0" applyFont="1" applyFill="1" applyBorder="1" applyAlignment="1">
      <x:alignment horizontal="center" vertical="center"/>
    </x:xf>
    <x:xf numFmtId="0" fontId="6" fillId="4" borderId="4" xfId="0" applyFont="1" applyFill="1" applyBorder="1" applyAlignment="1">
      <x:alignment horizontal="left"/>
    </x:xf>
    <x:xf numFmtId="0" fontId="6" fillId="4" borderId="5" xfId="0" applyFont="1" applyFill="1" applyBorder="1" applyAlignment="1">
      <x:alignment horizontal="left"/>
    </x:xf>
    <x:xf numFmtId="0" fontId="6" fillId="4" borderId="10" xfId="0" applyFont="1" applyFill="1" applyBorder="1" applyAlignment="1">
      <x:alignment horizontal="left"/>
    </x:xf>
    <x:xf numFmtId="0" fontId="6" fillId="4" borderId="11" xfId="0" applyFont="1" applyFill="1" applyBorder="1" applyAlignment="1">
      <x:alignment horizontal="left"/>
    </x:xf>
    <x:xf numFmtId="0" fontId="12" fillId="9" borderId="0" xfId="0" applyFont="1" applyFill="1" applyAlignment="1">
      <x:alignment vertical="center"/>
    </x:xf>
    <x:xf numFmtId="0" fontId="12" fillId="7" borderId="0" xfId="0" applyFont="1" applyFill="1" applyBorder="1" applyAlignment="1">
      <x:alignment horizontal="center" vertical="center"/>
    </x:xf>
    <x:xf numFmtId="0" fontId="7" fillId="0" borderId="0" xfId="0" applyFont="1"/>
    <x:xf numFmtId="0" fontId="15" fillId="3" borderId="2" xfId="0" applyFont="1" applyFill="1" applyBorder="1" applyAlignment="1">
      <x:alignment horizontal="center"/>
    </x:xf>
    <x:xf numFmtId="164" fontId="7" fillId="0" borderId="24" xfId="0" applyNumberFormat="1" applyFont="1" applyBorder="1" applyAlignment="1">
      <x:alignment horizontal="center"/>
    </x:xf>
    <x:xf numFmtId="0" fontId="7" fillId="0" borderId="35" xfId="0" applyFont="1" applyBorder="1" applyAlignment="1">
      <x:alignment horizontal="center"/>
    </x:xf>
    <x:xf numFmtId="164" fontId="7" fillId="0" borderId="27" xfId="0" applyNumberFormat="1" applyFont="1" applyBorder="1" applyAlignment="1">
      <x:alignment horizontal="center"/>
    </x:xf>
    <x:xf numFmtId="0" fontId="17" fillId="0" borderId="0" xfId="0" applyFont="1" applyAlignment="1">
      <x:alignment horizontal="left"/>
    </x:xf>
    <x:xf numFmtId="0" fontId="16" fillId="3" borderId="3" xfId="0" applyFont="1" applyFill="1" applyBorder="1" applyAlignment="1">
      <x:alignment horizontal="center"/>
    </x:xf>
    <x:xf numFmtId="0" fontId="7" fillId="0" borderId="0" xfId="0" applyFont="1" applyAlignment="1">
      <x:alignment horizontal="left"/>
    </x:xf>
    <x:xf numFmtId="164" fontId="6" fillId="4" borderId="37" xfId="0" applyNumberFormat="1" applyFont="1" applyFill="1" applyBorder="1" applyAlignment="1">
      <x:alignment horizontal="center"/>
    </x:xf>
    <x:xf numFmtId="164" fontId="6" fillId="4" borderId="28" xfId="0" applyNumberFormat="1" applyFont="1" applyFill="1" applyBorder="1" applyAlignment="1">
      <x:alignment horizontal="center"/>
    </x:xf>
    <x:xf numFmtId="172" fontId="6" fillId="4" borderId="23" xfId="4" applyNumberFormat="1" applyFont="1" applyFill="1" applyBorder="1" applyAlignment="1">
      <x:alignment horizontal="center"/>
    </x:xf>
    <x:xf numFmtId="172" fontId="6" fillId="4" borderId="24" xfId="4" applyNumberFormat="1" applyFont="1" applyFill="1" applyBorder="1" applyAlignment="1">
      <x:alignment horizontal="center"/>
    </x:xf>
    <x:xf numFmtId="1" fontId="7" fillId="4" borderId="23" xfId="0" applyNumberFormat="1" applyFont="1" applyFill="1" applyBorder="1" applyAlignment="1">
      <x:alignment horizontal="center"/>
    </x:xf>
    <x:xf numFmtId="1" fontId="6" fillId="4" borderId="24" xfId="0" applyNumberFormat="1" applyFont="1" applyFill="1" applyBorder="1" applyAlignment="1">
      <x:alignment horizontal="center"/>
    </x:xf>
    <x:xf numFmtId="164" fontId="6" fillId="4" borderId="26" xfId="0" applyNumberFormat="1" applyFont="1" applyFill="1" applyBorder="1" applyAlignment="1">
      <x:alignment horizontal="center"/>
    </x:xf>
    <x:xf numFmtId="8" fontId="6" fillId="4" borderId="27" xfId="0" applyNumberFormat="1" applyFont="1" applyFill="1" applyBorder="1" applyAlignment="1">
      <x:alignment horizontal="center"/>
    </x:xf>
    <x:xf numFmtId="0" fontId="18" fillId="0" borderId="0" xfId="0" applyFont="1" applyAlignment="1">
      <x:alignment horizontal="left" wrapText="1"/>
    </x:xf>
    <x:xf numFmtId="0" fontId="7" fillId="0" borderId="31" xfId="0" applyFont="1" applyBorder="1" applyAlignment="1">
      <x:alignment horizontal="left"/>
    </x:xf>
    <x:xf numFmtId="0" fontId="7" fillId="0" borderId="32" xfId="0" applyFont="1" applyBorder="1" applyAlignment="1">
      <x:alignment horizontal="left"/>
    </x:xf>
    <x:xf numFmtId="0" fontId="7" fillId="0" borderId="33" xfId="0" applyFont="1" applyBorder="1" applyAlignment="1">
      <x:alignment horizontal="left"/>
    </x:xf>
    <x:xf numFmtId="0" fontId="7" fillId="0" borderId="34" xfId="0" applyFont="1" applyBorder="1" applyAlignment="1">
      <x:alignment horizontal="left"/>
    </x:xf>
    <x:xf numFmtId="0" fontId="7" fillId="0" borderId="29" xfId="0" applyFont="1" applyBorder="1" applyAlignment="1">
      <x:alignment horizontal="left"/>
    </x:xf>
    <x:xf numFmtId="0" fontId="7" fillId="0" borderId="30" xfId="0" applyFont="1" applyBorder="1" applyAlignment="1">
      <x:alignment horizontal="left"/>
    </x:xf>
    <x:xf numFmtId="0" fontId="6" fillId="4" borderId="36" xfId="0" applyFont="1" applyFill="1" applyBorder="1" applyAlignment="1">
      <x:alignment horizontal="left"/>
    </x:xf>
    <x:xf numFmtId="0" fontId="6" fillId="4" borderId="22" xfId="0" applyFont="1" applyFill="1" applyBorder="1" applyAlignment="1">
      <x:alignment horizontal="left"/>
    </x:xf>
    <x:xf numFmtId="0" fontId="6" fillId="4" borderId="25" xfId="0" applyFont="1" applyFill="1" applyBorder="1" applyAlignment="1">
      <x:alignment horizontal="left"/>
    </x:xf>
    <x:xf numFmtId="0" fontId="16" fillId="3" borderId="1" xfId="0" applyFont="1" applyFill="1" applyBorder="1" applyAlignment="1">
      <x:alignment horizontal="center"/>
    </x:xf>
    <x:xf numFmtId="0" fontId="15" fillId="3" borderId="1" xfId="0" applyFont="1" applyFill="1" applyBorder="1" applyAlignment="1">
      <x:alignment horizontal="center"/>
    </x:xf>
    <x:xf numFmtId="0" fontId="15" fillId="3" borderId="3" xfId="0" applyFont="1" applyFill="1" applyBorder="1" applyAlignment="1">
      <x:alignment horizontal="center"/>
    </x:xf>
    <x:xf numFmtId="0" fontId="6" fillId="9" borderId="0" xfId="0" applyFont="1" applyFill="1"/>
    <x:xf numFmtId="0" fontId="7" fillId="9" borderId="0" xfId="0" applyFont="1" applyFill="1"/>
    <x:xf numFmtId="0" fontId="14" fillId="9" borderId="0" xfId="0" applyFont="1" applyFill="1"/>
    <x:xf numFmtId="0" fontId="7" fillId="9" borderId="0" xfId="0" applyFont="1" applyFill="1" applyAlignment="1">
      <x:alignment horizontal="left"/>
    </x:xf>
    <x:xf numFmtId="0" fontId="6" fillId="9" borderId="0" xfId="0" applyFont="1" applyFill="1" applyAlignment="1">
      <x:alignment horizontal="left"/>
    </x:xf>
    <x:xf numFmtId="0" fontId="16" fillId="3" borderId="2" xfId="0" applyFont="1" applyFill="1" applyBorder="1" applyAlignment="1">
      <x:alignment horizontal="center"/>
    </x:xf>
    <x:xf numFmtId="0" fontId="9" fillId="4" borderId="0" xfId="0" applyFont="1" applyFill="1" applyAlignment="1">
      <x:alignment horizontal="center"/>
    </x:xf>
    <x:xf numFmtId="0" fontId="20" fillId="9" borderId="0" xfId="0" applyFont="1" applyFill="1" applyBorder="1" applyAlignment="1">
      <x:alignment horizontal="center"/>
    </x:xf>
    <x:xf numFmtId="0" fontId="20" fillId="9" borderId="0" xfId="0" applyFont="1" applyFill="1" applyBorder="1" applyAlignment="1"/>
    <x:xf numFmtId="0" fontId="12" fillId="9" borderId="0" xfId="0" applyFont="1" applyFill="1" applyBorder="1" applyAlignment="1">
      <x:alignment horizontal="center" vertical="center"/>
    </x:xf>
    <x:xf numFmtId="0" fontId="20" fillId="9" borderId="0" xfId="0" applyFont="1" applyFill="1" applyBorder="1" applyAlignment="1">
      <x:alignment horizontal="left"/>
    </x:xf>
    <x:xf numFmtId="0" fontId="12" fillId="9" borderId="18" xfId="0" applyFont="1" applyFill="1" applyBorder="1" applyAlignment="1">
      <x:alignment vertical="center"/>
    </x:xf>
    <x:xf numFmtId="0" fontId="6" fillId="9" borderId="0" xfId="0" applyFont="1" applyFill="1" applyAlignment="1">
      <x:alignment horizontal="left" vertical="center"/>
    </x:xf>
    <x:xf numFmtId="0" fontId="6" fillId="9" borderId="0" xfId="0" applyFont="1" applyFill="1" applyAlignment="1">
      <x:alignment horizontal="left"/>
    </x:xf>
    <x:xf numFmtId="0" fontId="14" fillId="9" borderId="0" xfId="0" applyFont="1" applyFill="1" applyAlignment="1">
      <x:alignment horizontal="left"/>
    </x:xf>
    <x:xf numFmtId="0" fontId="13" fillId="9" borderId="0" xfId="0" applyFont="1" applyFill="1" applyAlignment="1">
      <x:alignment horizontal="left" vertical="center" wrapText="1"/>
    </x:xf>
    <x:xf numFmtId="0" fontId="18" fillId="0" borderId="3" xfId="0" applyFont="1" applyBorder="1" applyAlignment="1">
      <x:alignment horizontal="left"/>
    </x:xf>
    <x:xf numFmtId="200" fontId="8" fillId="0" borderId="9" xfId="0" applyNumberFormat="1" applyFont="1" applyFill="1" applyBorder="1" applyAlignment="1">
      <x:alignment horizontal="center"/>
    </x:xf>
    <x:xf numFmtId="201" fontId="6" fillId="6" borderId="0" xfId="0" applyNumberFormat="1" applyFont="1" applyFill="1" applyBorder="1"/>
    <x:xf numFmtId="164" fontId="7" fillId="10" borderId="24" xfId="0" applyNumberFormat="1" applyFont="1" applyFill="1" applyBorder="1" applyAlignment="1">
      <x:alignment horizontal="center"/>
    </x:xf>
    <x:xf numFmtId="0" fontId="7" fillId="10" borderId="35" xfId="0" applyNumberFormat="1" applyFont="1" applyFill="1" applyBorder="1" applyAlignment="1">
      <x:alignment horizontal="center"/>
    </x:xf>
  </x:cellXfs>
  <x:cellStyles count="5">
    <x:cellStyle name="Moeda" xfId="1"/>
    <x:cellStyle name="Neutro" xfId="2"/>
    <x:cellStyle name="Normal" xfId="0"/>
    <x:cellStyle name="Nota" xfId="3"/>
    <x:cellStyle name="Porcentagem" xfId="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5fa3dd895b42ba" /><Relationship Type="http://schemas.openxmlformats.org/officeDocument/2006/relationships/theme" Target="/xl/theme/theme1.xml" Id="Rdca7065f3e984bc9" /><Relationship Type="http://schemas.openxmlformats.org/officeDocument/2006/relationships/sharedStrings" Target="/xl/sharedStrings.xml" Id="R90e3765f57654348" /><Relationship Type="http://schemas.openxmlformats.org/officeDocument/2006/relationships/worksheet" Target="/xl/worksheets/sheet1.xml" Id="R8e2e62acc66242f2" /><Relationship Type="http://schemas.openxmlformats.org/officeDocument/2006/relationships/worksheet" Target="/xl/worksheets/sheet2.xml" Id="Ra61b6c40c9f54af9" /><Relationship Type="http://schemas.openxmlformats.org/officeDocument/2006/relationships/worksheet" Target="/xl/worksheets/sheet3.xml" Id="Rde311ead519f4b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64e0bc78c50418e" /><Relationship Type="http://schemas.openxmlformats.org/officeDocument/2006/relationships/chart" Target="/xl/drawings/charts/chart1.xml" Id="R402f1bf2908744f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5e8fb0f65314cfb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pieChart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spPr>
              <a:gradFill xmlns:a="http://schemas.openxmlformats.org/drawingml/2006/main" rotWithShape="1">
                <a:gsLst>
                  <a:gs pos="0">
                    <a:schemeClr val="accent1">
                      <a:tint val="67000"/>
                      <a:lumMod val="110000"/>
                      <a:satMod val="105000"/>
                    </a:schemeClr>
                  </a:gs>
                  <a:gs pos="50000">
                    <a:schemeClr val="accent1">
                      <a:tint val="73000"/>
                      <a:lumMod val="105000"/>
                      <a:satMod val="103000"/>
                    </a:schemeClr>
                  </a:gs>
                  <a:gs pos="100000">
                    <a:schemeClr val="accent1">
                      <a:tint val="81000"/>
                      <a:lumMod val="105000"/>
                      <a:satMod val="109000"/>
                    </a:schemeClr>
                  </a:gs>
                </a:gsLst>
                <a:lin ang="5400000" scaled="0"/>
              </a:gradFill>
              <a:ln xmlns:a="http://schemas.openxmlformats.org/drawingml/2006/main" w="9525" cmpd="sng">
                <a:solidFill>
                  <a:schemeClr val="accent1">
                    <a:shade val="95000"/>
                  </a:schemeClr>
                </a:solidFill>
              </a:ln>
            </c:spPr>
          </c:dPt>
          <c:dPt>
            <c:idx val="1"/>
            <c:spPr>
              <a:gradFill xmlns:a="http://schemas.openxmlformats.org/drawingml/2006/main" rotWithShape="1">
                <a:gsLst>
                  <a:gs pos="0">
                    <a:schemeClr val="accent2">
                      <a:tint val="67000"/>
                      <a:lumMod val="110000"/>
                      <a:satMod val="105000"/>
                    </a:schemeClr>
                  </a:gs>
                  <a:gs pos="50000">
                    <a:schemeClr val="accent2">
                      <a:tint val="73000"/>
                      <a:lumMod val="105000"/>
                      <a:satMod val="103000"/>
                    </a:schemeClr>
                  </a:gs>
                  <a:gs pos="100000">
                    <a:schemeClr val="accent2">
                      <a:tint val="81000"/>
                      <a:lumMod val="105000"/>
                      <a:satMod val="109000"/>
                    </a:schemeClr>
                  </a:gs>
                </a:gsLst>
                <a:lin ang="5400000" scaled="0"/>
              </a:gradFill>
              <a:ln xmlns:a="http://schemas.openxmlformats.org/drawingml/2006/main" w="9525" cmpd="sng">
                <a:solidFill>
                  <a:schemeClr val="accent2">
                    <a:shade val="95000"/>
                  </a:schemeClr>
                </a:solidFill>
              </a:ln>
            </c:spPr>
          </c:dPt>
          <c:dPt>
            <c:idx val="2"/>
            <c:spPr>
              <a:gradFill xmlns:a="http://schemas.openxmlformats.org/drawingml/2006/main" rotWithShape="1">
                <a:gsLst>
                  <a:gs pos="0">
                    <a:schemeClr val="accent3">
                      <a:tint val="67000"/>
                      <a:lumMod val="110000"/>
                      <a:satMod val="105000"/>
                    </a:schemeClr>
                  </a:gs>
                  <a:gs pos="50000">
                    <a:schemeClr val="accent3">
                      <a:tint val="73000"/>
                      <a:lumMod val="105000"/>
                      <a:satMod val="103000"/>
                    </a:schemeClr>
                  </a:gs>
                  <a:gs pos="100000">
                    <a:schemeClr val="accent3">
                      <a:tint val="81000"/>
                      <a:lumMod val="105000"/>
                      <a:satMod val="109000"/>
                    </a:schemeClr>
                  </a:gs>
                </a:gsLst>
                <a:lin ang="5400000" scaled="0"/>
              </a:gradFill>
              <a:ln xmlns:a="http://schemas.openxmlformats.org/drawingml/2006/main" w="9525" cmpd="sng">
                <a:solidFill>
                  <a:schemeClr val="accent3">
                    <a:shade val="95000"/>
                  </a:schemeClr>
                </a:solidFill>
              </a:ln>
            </c:spPr>
          </c:dPt>
          <c:dPt>
            <c:idx val="3"/>
            <c:spPr>
              <a:gradFill xmlns:a="http://schemas.openxmlformats.org/drawingml/2006/main" rotWithShape="1">
                <a:gsLst>
                  <a:gs pos="0">
                    <a:schemeClr val="accent4">
                      <a:tint val="67000"/>
                      <a:lumMod val="110000"/>
                      <a:satMod val="105000"/>
                    </a:schemeClr>
                  </a:gs>
                  <a:gs pos="50000">
                    <a:schemeClr val="accent4">
                      <a:tint val="73000"/>
                      <a:lumMod val="105000"/>
                      <a:satMod val="103000"/>
                    </a:schemeClr>
                  </a:gs>
                  <a:gs pos="100000">
                    <a:schemeClr val="accent4">
                      <a:tint val="81000"/>
                      <a:lumMod val="105000"/>
                      <a:satMod val="109000"/>
                    </a:schemeClr>
                  </a:gs>
                </a:gsLst>
                <a:lin ang="5400000" scaled="0"/>
              </a:gradFill>
              <a:ln xmlns:a="http://schemas.openxmlformats.org/drawingml/2006/main" w="9525" cmpd="sng">
                <a:solidFill>
                  <a:schemeClr val="accent4">
                    <a:shade val="95000"/>
                  </a:schemeClr>
                </a:solidFill>
              </a:ln>
            </c:spPr>
          </c:dPt>
          <c:dPt>
            <c:idx val="4"/>
            <c:spPr>
              <a:gradFill xmlns:a="http://schemas.openxmlformats.org/drawingml/2006/main" rotWithShape="1">
                <a:gsLst>
                  <a:gs pos="0">
                    <a:schemeClr val="accent5">
                      <a:tint val="67000"/>
                      <a:lumMod val="110000"/>
                      <a:satMod val="105000"/>
                    </a:schemeClr>
                  </a:gs>
                  <a:gs pos="50000">
                    <a:schemeClr val="accent5">
                      <a:tint val="73000"/>
                      <a:lumMod val="105000"/>
                      <a:satMod val="103000"/>
                    </a:schemeClr>
                  </a:gs>
                  <a:gs pos="100000">
                    <a:schemeClr val="accent5">
                      <a:tint val="81000"/>
                      <a:lumMod val="105000"/>
                      <a:satMod val="109000"/>
                    </a:schemeClr>
                  </a:gs>
                </a:gsLst>
                <a:lin ang="5400000" scaled="0"/>
              </a:gradFill>
              <a:ln xmlns:a="http://schemas.openxmlformats.org/drawingml/2006/main" w="9525" cmpd="sng">
                <a:solidFill>
                  <a:schemeClr val="accent5">
                    <a:shade val="95000"/>
                  </a:schemeClr>
                </a:solidFill>
              </a:ln>
            </c:spPr>
          </c:dPt>
          <c:dPt>
            <c:idx val="5"/>
            <c:spPr>
              <a:gradFill xmlns:a="http://schemas.openxmlformats.org/drawingml/2006/main" rotWithShape="1">
                <a:gsLst>
                  <a:gs pos="0">
                    <a:schemeClr val="accent6">
                      <a:tint val="67000"/>
                      <a:lumMod val="110000"/>
                      <a:satMod val="105000"/>
                    </a:schemeClr>
                  </a:gs>
                  <a:gs pos="50000">
                    <a:schemeClr val="accent6">
                      <a:tint val="73000"/>
                      <a:lumMod val="105000"/>
                      <a:satMod val="103000"/>
                    </a:schemeClr>
                  </a:gs>
                  <a:gs pos="100000">
                    <a:schemeClr val="accent6">
                      <a:tint val="81000"/>
                      <a:lumMod val="105000"/>
                      <a:satMod val="109000"/>
                    </a:schemeClr>
                  </a:gs>
                </a:gsLst>
                <a:lin ang="5400000" scaled="0"/>
              </a:gradFill>
              <a:ln xmlns:a="http://schemas.openxmlformats.org/drawingml/2006/main" w="9525" cmpd="sng">
                <a:solidFill>
                  <a:schemeClr val="accent6">
                    <a:shade val="95000"/>
                  </a:schemeClr>
                </a:solidFill>
              </a:ln>
            </c:spPr>
          </c:dPt>
          <c:dPt>
            <c:idx val="6"/>
            <c:spPr>
              <a:gradFill xmlns:a="http://schemas.openxmlformats.org/drawingml/2006/main" rotWithShape="1">
                <a:gsLst>
                  <a:gs pos="0">
                    <a:schemeClr val="accent1">
                      <a:tint val="67000"/>
                      <a:lumMod val="60000"/>
                      <a:satMod val="105000"/>
                    </a:schemeClr>
                  </a:gs>
                  <a:gs pos="50000">
                    <a:schemeClr val="accent1">
                      <a:tint val="73000"/>
                      <a:lumMod val="60000"/>
                      <a:satMod val="103000"/>
                    </a:schemeClr>
                  </a:gs>
                  <a:gs pos="100000">
                    <a:schemeClr val="accent1">
                      <a:tint val="81000"/>
                      <a:lumMod val="60000"/>
                      <a:satMod val="109000"/>
                    </a:schemeClr>
                  </a:gs>
                </a:gsLst>
                <a:lin ang="5400000" scaled="0"/>
              </a:gradFill>
              <a:ln xmlns:a="http://schemas.openxmlformats.org/drawingml/2006/main" w="9525" cmpd="sng">
                <a:solidFill>
                  <a:schemeClr val="accent1">
                    <a:shade val="95000"/>
                    <a:lumMod val="60000"/>
                  </a:schemeClr>
                </a:solidFill>
              </a:ln>
            </c:spPr>
          </c:dPt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xmlns:a="http://schemas.openxmlformats.org/drawingml/2006/main"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</c:spPr>
            </c:leaderLines>
          </c:dLbls>
          <c:cat>
            <c:strRef>
              <c:f>APP!$B$36:$B$42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APP!$C$36:$C$42</c:f>
              <c:numCache>
                <c:formatCode>0%</c:formatCode>
                <c:ptCount val="7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legendEntry>
        <c:idx val="6"/>
        <c:delete val="1"/>
      </c:legendEntry>
      <c:layout>
        <c:manualLayout>
          <c:xMode val="edge"/>
          <c:yMode val="edge"/>
          <c:x val="0.05298708873512024"/>
          <c:y val="0.7979385302669179"/>
          <c:w val="0.9007598292637662"/>
          <c:h val="0.17036574865542758"/>
        </c:manualLayout>
      </c:layout>
      <c:overlay val="0"/>
      <c:spPr>
        <a:noFill xmlns:a="http://schemas.openxmlformats.org/drawingml/2006/main"/>
        <a:ln xmlns:a="http://schemas.openxmlformats.org/drawingml/2006/main">
          <a:noFill/>
        </a:ln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 strike="noStrike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  <c:dispBlanksAs val="gap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686790222213654"/>
          <c:y val="0.05092592592592592"/>
          <c:w val="0.735812636333555"/>
          <c:h val="0.79224482356372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Objetivo!$C$20</c:f>
              <c:strCache>
                <c:ptCount val="1"/>
                <c:pt idx="0">
                  <c:v>SEM INVESTIMENTO</c:v>
                </c:pt>
              </c:strCache>
            </c:strRef>
          </c:tx>
          <c:spPr>
            <a:solidFill xmlns:a="http://schemas.openxmlformats.org/drawingml/2006/main">
              <a:schemeClr val="tx2">
                <a:lumMod val="75000"/>
                <a:lumOff val="25000"/>
              </a:schemeClr>
            </a:solidFill>
            <a:ln xmlns:a="http://schemas.openxmlformats.org/drawingml/2006/main">
              <a:noFill/>
            </a:ln>
          </c:spPr>
          <c:invertIfNegative val="0"/>
          <c:dLbls>
            <c:dLbl>
              <c:idx val="1"/>
              <c:layout>
                <c:manualLayout>
                  <c:x val="-0.002039983680130559"/>
                  <c:y val="0.01388888888888888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leaderLines>
              <c:spPr>
                <a:ln xmlns:a="http://schemas.openxmlformats.org/drawingml/2006/main" w="9525" cmpd="sng">
                  <a:solidFill>
                    <a:schemeClr val="tx1">
                      <a:lumMod val="35000"/>
                      <a:lumOff val="65000"/>
                    </a:schemeClr>
                  </a:solidFill>
                </a:ln>
              </c:spPr>
            </c:leaderLines>
          </c:dLbls>
          <c:cat>
            <c:strRef>
              <c:f>(Objetivo!$B$21,Objetivo!$B$24)</c:f>
              <c:strCache>
                <c:ptCount val="2"/>
                <c:pt idx="0">
                  <c:v>Patrimônio acumulado</c:v>
                </c:pt>
                <c:pt idx="1">
                  <c:v>Quanto falta</c:v>
                </c:pt>
              </c:strCache>
            </c:strRef>
          </c:cat>
          <c:val>
            <c:numRef>
              <c:f>(Objetivo!$C$21,Objetivo!$C$24)</c:f>
              <c:numCache>
                <c:formatCode>0.0%</c:formatCode>
                <c:ptCount val="2"/>
                <c:pt idx="0">
                  <c:v>12000</c:v>
                </c:pt>
                <c:pt idx="1">
                  <c:v>48000</c:v>
                </c:pt>
              </c:numCache>
            </c:numRef>
          </c:val>
        </c:ser>
        <c:ser>
          <c:idx val="1"/>
          <c:order val="1"/>
          <c:tx>
            <c:strRef>
              <c:f>Objetivo!$D$20</c:f>
              <c:strCache>
                <c:ptCount val="1"/>
                <c:pt idx="0">
                  <c:v>COM INVESTIMENTO FII</c:v>
                </c:pt>
              </c:strCache>
            </c:strRef>
          </c:tx>
          <c:spPr>
            <a:solidFill xmlns:a="http://schemas.openxmlformats.org/drawingml/2006/main">
              <a:srgbClr val="EFCC5D"/>
            </a:solidFill>
            <a:ln xmlns:a="http://schemas.openxmlformats.org/drawingml/2006/main">
              <a:noFill/>
            </a:ln>
          </c:spPr>
          <c:invertIfNegative val="0"/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leaderLines>
              <c:spPr>
                <a:ln xmlns:a="http://schemas.openxmlformats.org/drawingml/2006/main" w="9525" cmpd="sng">
                  <a:solidFill>
                    <a:schemeClr val="tx1">
                      <a:lumMod val="35000"/>
                      <a:lumOff val="65000"/>
                    </a:schemeClr>
                  </a:solidFill>
                </a:ln>
              </c:spPr>
            </c:leaderLines>
          </c:dLbls>
          <c:cat>
            <c:strRef>
              <c:f>(Objetivo!$B$21,Objetivo!$B$24)</c:f>
              <c:strCache>
                <c:ptCount val="2"/>
                <c:pt idx="0">
                  <c:v>Patrimônio acumulado</c:v>
                </c:pt>
                <c:pt idx="1">
                  <c:v>Quanto falta</c:v>
                </c:pt>
              </c:strCache>
            </c:strRef>
          </c:cat>
          <c:val>
            <c:numRef>
              <c:f>(Objetivo!$D$21,Objetivo!$D$24)</c:f>
              <c:numCache>
                <c:formatCode>0.0%</c:formatCode>
                <c:ptCount val="2"/>
                <c:pt idx="0">
                  <c:v>28589.008662527478</c:v>
                </c:pt>
                <c:pt idx="1">
                  <c:v>31410.991337472522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82"/>
        <c:axId val="300838880"/>
        <c:axId val="240829680"/>
      </c:barChart>
      <c:catAx>
        <c:axId val="300838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240829680"/>
        <c:crosses val="autoZero"/>
        <c:lblAlgn val="ctr"/>
        <c:noMultiLvlLbl val="0"/>
        <c:lblOffset val="100"/>
      </c:catAx>
      <c:valAx>
        <c:axId val="240829680"/>
        <c:scaling>
          <c:orientation val="minMax"/>
        </c:scaling>
        <c:delete val="1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&quot;R$&quot;\ #,##0.00" sourceLinked="1"/>
        <c:majorTickMark val="none"/>
        <c:minorTickMark val="none"/>
        <c:tickLblPos val="nextTo"/>
        <c:crossAx val="300838880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  <a:ln xmlns:a="http://schemas.openxmlformats.org/drawingml/2006/main">
          <a:noFill/>
        </a:ln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  <c:dispBlanksAs val="gap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495300</xdr:colOff>
      <xdr:row>43</xdr:row>
      <xdr:rowOff>102870</xdr:rowOff>
    </xdr:from>
    <xdr:to>
      <xdr:col>3</xdr:col>
      <xdr:colOff>853440</xdr:colOff>
      <xdr:row>56</xdr:row>
      <xdr:rowOff>60960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2f1bf2908744f0"/>
        </a:graphicData>
      </a:graphic>
    </xdr:graphicFrame>
    <xdr:clientData/>
  </xdr:twoCellAnchor>
  <xdr:twoCellAnchor editAs="oneCell">
    <xdr:from>
      <xdr:col>1</xdr:col>
      <xdr:colOff>68580</xdr:colOff>
      <xdr:row>0</xdr:row>
      <xdr:rowOff>38100</xdr:rowOff>
    </xdr:from>
    <xdr:to>
      <xdr:col>4</xdr:col>
      <xdr:colOff>160020</xdr:colOff>
      <xdr:row>10</xdr:row>
      <xdr:rowOff>160020</xdr:rowOff>
    </xdr:to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4e0bc78c5041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68580</xdr:colOff>
      <xdr:row>25</xdr:row>
      <xdr:rowOff>255270</xdr:rowOff>
    </xdr:from>
    <xdr:to>
      <xdr:col>4</xdr:col>
      <xdr:colOff>0</xdr:colOff>
      <xdr:row>40</xdr:row>
      <xdr:rowOff>133350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e8fb0f65314cf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3370d49f86741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82a64491f184c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3" customWidth="1"/>
    <x:col min="2" max="2" width="37.44140625" customWidth="1"/>
    <x:col min="3" max="3" width="28.77734375" customWidth="1"/>
    <x:col min="4" max="4" width="15.44140625" customWidth="1"/>
    <x:col min="5" max="5" width="4" customWidth="1"/>
    <x:col min="6" max="6" width="6.109375" hidden="1" customWidth="1"/>
    <x:col min="7" max="7" width="1.44140625" hidden="1" customWidth="1"/>
    <x:col min="8" max="16384" width="8.88671875" hidden="1" customWidth="0"/>
  </x:cols>
  <x:sheetData>
    <x:row r="1">
      <x:c r="A1" s="1"/>
    </x:row>
    <x:row r="4">
      <x:c r="D4" s="1"/>
    </x:row>
    <x:row r="11" ht="15"/>
    <x:row r="12" ht="18">
      <x:c r="B12" s="61" t="s">
        <x:v>0</x:v>
      </x:c>
      <x:c r="C12" s="62"/>
      <x:c r="D12" s="63"/>
    </x:row>
    <x:row r="13" ht="15.600000381469727">
      <x:c r="B13" s="64" t="s">
        <x:v>1</x:v>
      </x:c>
      <x:c r="C13" s="65"/>
      <x:c r="D13" s="13" t="n">
        <x:v>5000</x:v>
      </x:c>
    </x:row>
    <x:row r="14" ht="15.600000381469727">
      <x:c r="B14" s="52" t="s">
        <x:v>2</x:v>
      </x:c>
      <x:c r="C14" s="53"/>
      <x:c r="D14" s="14" t="n">
        <x:v>0.006</x:v>
      </x:c>
    </x:row>
    <x:row r="15" ht="16.200000762939453">
      <x:c r="B15" s="66" t="str">
        <x:v>Sugestão de Investimento (30%)</x:v>
      </x:c>
      <x:c r="C15" s="67"/>
      <x:c r="D15" s="15" t="n">
        <x:f>D13*30%</x:f>
        <x:v>1500</x:v>
      </x:c>
    </x:row>
    <x:row r="17">
      <x:c r="B17" s="109" t="str">
        <x:v>Simulação fictícia. Não altere as células cinzas.</x:v>
      </x:c>
      <x:c r="C17" s="109"/>
      <x:c r="D17" s="109"/>
    </x:row>
    <x:row r="18" ht="15"/>
    <x:row r="19" ht="18.600000381469727" customHeight="1">
      <x:c r="B19" s="54" t="s">
        <x:v>3</x:v>
      </x:c>
      <x:c r="C19" s="55"/>
      <x:c r="D19" s="56"/>
    </x:row>
    <x:row r="20" ht="15.600000381469727">
      <x:c r="B20" s="64" t="s">
        <x:v>4</x:v>
      </x:c>
      <x:c r="C20" s="65"/>
      <x:c r="D20" s="16" t="n">
        <x:v>1500</x:v>
      </x:c>
    </x:row>
    <x:row r="21" ht="15.600000381469727">
      <x:c r="B21" s="52" t="s">
        <x:v>5</x:v>
      </x:c>
      <x:c r="C21" s="53"/>
      <x:c r="D21" s="17" t="n">
        <x:v>5</x:v>
      </x:c>
    </x:row>
    <x:row r="22" ht="15.600000381469727">
      <x:c r="B22" s="52" t="s">
        <x:v>6</x:v>
      </x:c>
      <x:c r="C22" s="53"/>
      <x:c r="D22" s="116" t="n">
        <x:v>0.008</x:v>
      </x:c>
    </x:row>
    <x:row r="23" ht="15.600000381469727">
      <x:c r="B23" s="57" t="s">
        <x:v>7</x:v>
      </x:c>
      <x:c r="C23" s="58"/>
      <x:c r="D23" s="19" t="n">
        <x:f>FV(taxa_mensal,qtd_anos*12,aporte*-1)</x:f>
        <x:v>114935.80024781966</x:v>
      </x:c>
    </x:row>
    <x:row r="24" ht="16.200000762939453">
      <x:c r="B24" s="59" t="s">
        <x:v>8</x:v>
      </x:c>
      <x:c r="C24" s="60"/>
      <x:c r="D24" s="20" t="n">
        <x:f>patrimonio*rendimento_carteira</x:f>
        <x:v>689.6148014869179</x:v>
      </x:c>
    </x:row>
    <x:row r="25" ht="15"/>
    <x:row r="26" ht="17.399999618530273" customHeight="1">
      <x:c r="B26" s="54" t="s">
        <x:v>9</x:v>
      </x:c>
      <x:c r="C26" s="55"/>
      <x:c r="D26" s="3" t="s">
        <x:v>10</x:v>
      </x:c>
    </x:row>
    <x:row r="27" ht="15.600000381469727">
      <x:c r="A27" s="2">
        <x:v>2</x:v>
      </x:c>
      <x:c r="B27" s="4" t="s">
        <x:v>11</x:v>
      </x:c>
      <x:c r="C27" s="5" t="n">
        <x:f>FV($D$22,$A27*12,$D$20*-1)</x:f>
        <x:v>39514.732666679134</x:v>
      </x:c>
      <x:c r="D27" s="6" t="n">
        <x:f>C27*rendimento_carteira</x:f>
        <x:v>237.08839600007482</x:v>
      </x:c>
    </x:row>
    <x:row r="28" ht="15.600000381469727">
      <x:c r="A28" s="2">
        <x:v>5</x:v>
      </x:c>
      <x:c r="B28" s="7" t="s">
        <x:v>12</x:v>
      </x:c>
      <x:c r="C28" s="8" t="n">
        <x:f>FV($D$22,$A28*12,$D$20*-1)</x:f>
        <x:v>114935.80024781966</x:v>
      </x:c>
      <x:c r="D28" s="9" t="n">
        <x:f>C28*rendimento_carteira</x:f>
        <x:v>689.6148014869179</x:v>
      </x:c>
    </x:row>
    <x:row r="29" ht="15.600000381469727">
      <x:c r="A29" s="2">
        <x:v>10</x:v>
      </x:c>
      <x:c r="B29" s="7" t="s">
        <x:v>13</x:v>
      </x:c>
      <x:c r="C29" s="8" t="n">
        <x:f>FV($D$22,$A29*12,$D$20*-1)</x:f>
        <x:v>300326.20411487506</x:v>
      </x:c>
      <x:c r="D29" s="9" t="n">
        <x:f>C29*rendimento_carteira</x:f>
        <x:v>1801.9572246892503</x:v>
      </x:c>
    </x:row>
    <x:row r="30" ht="16.200000762939453">
      <x:c r="A30" s="2">
        <x:v>30</x:v>
      </x:c>
      <x:c r="B30" s="10" t="s">
        <x:v>14</x:v>
      </x:c>
      <x:c r="C30" s="11" t="n">
        <x:f>FV($D$22,$A30*12,$D$20*-1)</x:f>
        <x:v>3114619.8470565854</x:v>
      </x:c>
      <x:c r="D30" s="12" t="n">
        <x:f>C30*rendimento_carteira</x:f>
        <x:v>18687.719082339514</x:v>
      </x:c>
    </x:row>
    <x:row r="32" ht="15.600000381469727">
      <x:c r="B32" s="39" t="s">
        <x:v>15</x:v>
      </x:c>
      <x:c r="C32" s="40" t="str">
        <x:v>Conservador</x:v>
      </x:c>
      <x:c r="D32" s="41"/>
    </x:row>
    <x:row r="33" ht="15.600000381469727">
      <x:c r="B33" s="42" t="s">
        <x:v>16</x:v>
      </x:c>
      <x:c r="C33" s="43" t="n">
        <x:f>aporte</x:f>
        <x:v>1500</x:v>
      </x:c>
      <x:c r="D33" s="42"/>
    </x:row>
    <x:row r="34" ht="15.600000381469727">
      <x:c r="B34" s="44"/>
      <x:c r="C34" s="44"/>
      <x:c r="D34" s="44"/>
    </x:row>
    <x:row r="35" ht="15.600000381469727">
      <x:c r="B35" s="49" t="s">
        <x:v>17</x:v>
      </x:c>
      <x:c r="C35" s="49" t="s">
        <x:v>18</x:v>
      </x:c>
      <x:c r="D35" s="49" t="s">
        <x:v>19</x:v>
      </x:c>
    </x:row>
    <x:row r="36" ht="15.600000381469727">
      <x:c r="B36" s="47" t="s">
        <x:v>20</x:v>
      </x:c>
      <x:c r="C36" s="48" t="n">
        <x:f>VLOOKUP($C$32&amp;"-"&amp;B36,apoio!$A:$D,4,FALSE)</x:f>
        <x:v>0.3</x:v>
      </x:c>
      <x:c r="D36" s="45" t="n">
        <x:f>C36*$C$33</x:f>
        <x:v>450</x:v>
      </x:c>
    </x:row>
    <x:row r="37" ht="15.600000381469727">
      <x:c r="B37" s="47" t="s">
        <x:v>21</x:v>
      </x:c>
      <x:c r="C37" s="48" t="n">
        <x:f>VLOOKUP($C$32&amp;"-"&amp;B37,apoio!$A:$D,4,FALSE)</x:f>
        <x:v>0.5</x:v>
      </x:c>
      <x:c r="D37" s="45" t="n">
        <x:f>C37*$C$33</x:f>
        <x:v>750</x:v>
      </x:c>
    </x:row>
    <x:row r="38" ht="15.600000381469727">
      <x:c r="B38" s="47" t="s">
        <x:v>22</x:v>
      </x:c>
      <x:c r="C38" s="48" t="n">
        <x:f>VLOOKUP($C$32&amp;"-"&amp;B38,apoio!$A:$D,4,FALSE)</x:f>
        <x:v>0.1</x:v>
      </x:c>
      <x:c r="D38" s="45" t="n">
        <x:f>C38*$C$33</x:f>
        <x:v>150</x:v>
      </x:c>
    </x:row>
    <x:row r="39" ht="15.600000381469727">
      <x:c r="B39" s="47" t="s">
        <x:v>23</x:v>
      </x:c>
      <x:c r="C39" s="48" t="n">
        <x:f>VLOOKUP($C$32&amp;"-"&amp;B39,apoio!$A:$D,4,FALSE)</x:f>
        <x:v>0.1</x:v>
      </x:c>
      <x:c r="D39" s="45" t="n">
        <x:f>C39*$C$33</x:f>
        <x:v>150</x:v>
      </x:c>
    </x:row>
    <x:row r="40" ht="15.600000381469727">
      <x:c r="B40" s="47" t="s">
        <x:v>24</x:v>
      </x:c>
      <x:c r="C40" s="48" t="n">
        <x:f>VLOOKUP($C$32&amp;"-"&amp;B40,apoio!$A:$D,4,FALSE)</x:f>
        <x:v>0</x:v>
      </x:c>
      <x:c r="D40" s="45" t="n">
        <x:f>C40*$C$33</x:f>
        <x:v>0</x:v>
      </x:c>
    </x:row>
    <x:row r="41" ht="15.600000381469727">
      <x:c r="B41" s="47" t="s">
        <x:v>25</x:v>
      </x:c>
      <x:c r="C41" s="48" t="n">
        <x:f>VLOOKUP($C$32&amp;"-"&amp;B41,apoio!$A:$D,4,FALSE)</x:f>
        <x:v>0</x:v>
      </x:c>
      <x:c r="D41" s="45" t="n">
        <x:f>C41*$C$33</x:f>
        <x:v>0</x:v>
      </x:c>
    </x:row>
    <x:row r="42" ht="15.600000381469727">
      <x:c r="B42" s="46"/>
      <x:c r="C42" s="117" t="n">
        <x:f>SUM(C36:C41)</x:f>
        <x:v>1</x:v>
      </x:c>
      <x:c r="D42" s="50" t="n">
        <x:f>SUM(D36:D41)</x:f>
        <x:v>1500</x:v>
      </x:c>
    </x:row>
  </x:sheetData>
  <x:mergeCells>
    <x:mergeCell ref="B17:D17"/>
    <x:mergeCell ref="B12:D12"/>
    <x:mergeCell ref="B13:C13"/>
    <x:mergeCell ref="B14:C14"/>
    <x:mergeCell ref="B15:C15"/>
    <x:mergeCell ref="B20:C20"/>
    <x:mergeCell ref="B21:C21"/>
    <x:mergeCell ref="B26:C26"/>
    <x:mergeCell ref="B19:D19"/>
    <x:mergeCell ref="B22:C22"/>
    <x:mergeCell ref="B23:C23"/>
    <x:mergeCell ref="B24:C24"/>
  </x:mergeCells>
  <x:dataValidations count="1">
    <x:dataValidation type="list" allowBlank="1" showInputMessage="1" showErrorMessage="1" sqref="C32">
      <x:formula1>"Conservador,Moderado,Agressivo"</x:formula1>
    </x:dataValidation>
  </x:dataValidations>
  <x:pageMargins left="0.7" right="0.7" top="0.75" bottom="0.75" header="0.3" footer="0.3"/>
  <x:drawing xmlns:r="http://schemas.openxmlformats.org/officeDocument/2006/relationships" r:id="R63370d49f86741b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2.88671875" customWidth="1"/>
    <x:col min="2" max="2" width="30.88671875" customWidth="1"/>
    <x:col min="3" max="3" width="22.109375" customWidth="1"/>
    <x:col min="4" max="4" width="25.77734375" customWidth="1"/>
    <x:col min="5" max="5" width="6.33203125" customWidth="1"/>
    <x:col min="6" max="6" width="2.109375" customWidth="1"/>
    <x:col min="7" max="16384" width="8.88671875" hidden="1" customWidth="0"/>
  </x:cols>
  <x:sheetData>
    <x:row r="2" ht="14.399999618530273" customHeight="1">
      <x:c r="A2" s="68"/>
      <x:c r="B2" s="51" t="s">
        <x:v>26</x:v>
      </x:c>
      <x:c r="C2" s="51"/>
      <x:c r="D2" s="51"/>
      <x:c r="E2" s="68"/>
    </x:row>
    <x:row r="3" ht="15.600000381469727" customHeight="1">
      <x:c r="A3" s="102"/>
      <x:c r="B3" s="99"/>
      <x:c r="C3" s="100"/>
      <x:c r="D3" s="100"/>
    </x:row>
    <x:row r="4" ht="14.399999618530273" customHeight="1">
      <x:c r="B4" s="111" t="s">
        <x:v>27</x:v>
      </x:c>
      <x:c r="C4" s="113"/>
      <x:c r="D4" s="101"/>
    </x:row>
    <x:row r="5" ht="15.600000381469727">
      <x:c r="B5" s="111" t="s">
        <x:v>28</x:v>
      </x:c>
      <x:c r="C5" s="113"/>
      <x:c r="D5" s="101"/>
    </x:row>
    <x:row r="6" ht="15.600000381469727">
      <x:c r="B6" s="111" t="s">
        <x:v>29</x:v>
      </x:c>
      <x:c r="C6" s="113"/>
      <x:c r="D6" s="101"/>
    </x:row>
    <x:row r="7" ht="17.399999618530273" customHeight="1">
      <x:c r="B7" s="111" t="s">
        <x:v>30</x:v>
      </x:c>
      <x:c r="C7" s="114"/>
      <x:c r="D7" s="101"/>
    </x:row>
    <x:row r="8" ht="15" customHeight="1">
      <x:c r="B8" s="112" t="s">
        <x:v>31</x:v>
      </x:c>
      <x:c r="C8" s="113"/>
      <x:c r="D8" s="101"/>
    </x:row>
    <x:row r="9" ht="15" customHeight="1">
      <x:c r="A9" s="103"/>
      <x:c r="B9" s="100"/>
      <x:c r="C9" s="100"/>
      <x:c r="D9" s="100"/>
    </x:row>
    <x:row r="10" ht="18">
      <x:c r="A10" s="110"/>
      <x:c r="B10" s="69"/>
      <x:c r="C10" s="69"/>
      <x:c r="D10" s="69"/>
      <x:c r="E10" s="68"/>
    </x:row>
    <x:row r="11" ht="18">
      <x:c r="A11" s="108"/>
      <x:c r="B11" s="108"/>
      <x:c r="C11" s="108"/>
      <x:c r="D11" s="108"/>
      <x:c r="E11" s="68"/>
    </x:row>
    <x:row r="12">
      <x:c r="A12" s="70"/>
      <x:c r="B12" s="109" t="s">
        <x:v>32</x:v>
      </x:c>
      <x:c r="C12" s="109"/>
      <x:c r="D12" s="109"/>
      <x:c r="E12" s="107"/>
    </x:row>
    <x:row r="13" ht="15">
      <x:c r="A13" s="70"/>
      <x:c r="B13" s="106"/>
      <x:c r="C13" s="106"/>
      <x:c r="D13" s="106"/>
      <x:c r="E13" s="107"/>
    </x:row>
    <x:row r="14">
      <x:c r="A14" s="70"/>
      <x:c r="B14" s="97" t="s">
        <x:v>33</x:v>
      </x:c>
      <x:c r="C14" s="98"/>
      <x:c r="D14" s="71"/>
    </x:row>
    <x:row r="15">
      <x:c r="A15" s="70"/>
      <x:c r="B15" s="87" t="s">
        <x:v>34</x:v>
      </x:c>
      <x:c r="C15" s="88"/>
      <x:c r="D15" s="118" t="n">
        <x:f>aporte</x:f>
        <x:v>1500</x:v>
      </x:c>
    </x:row>
    <x:row r="16">
      <x:c r="A16" s="70"/>
      <x:c r="B16" s="89" t="s">
        <x:v>35</x:v>
      </x:c>
      <x:c r="C16" s="90"/>
      <x:c r="D16" s="119" t="n">
        <x:f>qtd_anos</x:f>
        <x:v>5</x:v>
      </x:c>
    </x:row>
    <x:row r="17" ht="15">
      <x:c r="A17" s="70"/>
      <x:c r="B17" s="91" t="s">
        <x:v>36</x:v>
      </x:c>
      <x:c r="C17" s="92"/>
      <x:c r="D17" s="74" t="n">
        <x:v>120000</x:v>
      </x:c>
    </x:row>
    <x:row r="18" ht="15.600000381469727">
      <x:c r="A18" s="70"/>
      <x:c r="B18" s="115" t="str">
        <x:v>Aporte e prazo vêm da aba APP. Edite a meta acima.</x:v>
      </x:c>
      <x:c r="C18" s="115"/>
      <x:c r="D18" s="115"/>
    </x:row>
    <x:row r="19" ht="18.600000381469727">
      <x:c r="A19" s="75"/>
      <x:c r="B19" s="70"/>
      <x:c r="C19" s="70"/>
      <x:c r="D19" s="70"/>
    </x:row>
    <x:row r="20" ht="15.600000381469727">
      <x:c r="A20" s="70"/>
      <x:c r="B20" s="96" t="s">
        <x:v>37</x:v>
      </x:c>
      <x:c r="C20" s="76" t="s">
        <x:v>38</x:v>
      </x:c>
      <x:c r="D20" s="104" t="s">
        <x:v>39</x:v>
      </x:c>
      <x:c r="E20" s="105" t="str">
        <x:f>qtd_anos&amp;" anos"</x:f>
        <x:v>5 anos</x:v>
      </x:c>
    </x:row>
    <x:row r="21" ht="15.600000381469727">
      <x:c r="A21" s="77"/>
      <x:c r="B21" s="93" t="s">
        <x:v>40</x:v>
      </x:c>
      <x:c r="C21" s="78" t="n">
        <x:f>D15*D16*12</x:f>
        <x:v>90000</x:v>
      </x:c>
      <x:c r="D21" s="79" t="n">
        <x:f>patrimonio</x:f>
        <x:v>114935.80024781966</x:v>
      </x:c>
    </x:row>
    <x:row r="22" ht="15.600000381469727">
      <x:c r="A22" s="77"/>
      <x:c r="B22" s="94" t="s">
        <x:v>41</x:v>
      </x:c>
      <x:c r="C22" s="80" t="n">
        <x:f>IF(qntd_obj&gt;0,C21/qntd_obj,0)</x:f>
        <x:v>0.75</x:v>
      </x:c>
      <x:c r="D22" s="81" t="n">
        <x:f>IF(qntd_obj&gt;0,D21/qntd_obj,0)</x:f>
        <x:v>0.9577983353984971</x:v>
      </x:c>
    </x:row>
    <x:row r="23" ht="15.600000381469727">
      <x:c r="A23" s="77"/>
      <x:c r="B23" s="94" t="str">
        <x:v>Meses totais até a meta (desde zero)</x:v>
      </x:c>
      <x:c r="C23" s="82" t="n">
        <x:f>IF(D17&lt;=0,0,IF(D15&gt;0,ROUNDUP(D17/D15,0),"Sem aporte"))</x:f>
        <x:v>80</x:v>
      </x:c>
      <x:c r="D23" s="83" t="n">
        <x:f>IF(D17&lt;=0,0,IF(D15&gt;0,ROUNDUP(NPER(taxa_mensal,-D15,0,D17,0),0),"Sem aporte"))</x:f>
        <x:v>63</x:v>
      </x:c>
    </x:row>
    <x:row r="24" ht="16.200000762939453">
      <x:c r="A24" s="77"/>
      <x:c r="B24" s="95" t="s">
        <x:v>42</x:v>
      </x:c>
      <x:c r="C24" s="84" t="n">
        <x:f>MAX(0,qntd_obj-C21)</x:f>
        <x:v>30000</x:v>
      </x:c>
      <x:c r="D24" s="85" t="n">
        <x:f>MAX(0,qntd_obj-D21)</x:f>
        <x:v>5064.199752180342</x:v>
      </x:c>
    </x:row>
    <x:row r="25">
      <x:c r="A25" s="86" t="str"/>
      <x:c r="B25" s="86"/>
      <x:c r="C25" s="86"/>
      <x:c r="D25" s="86"/>
    </x:row>
    <x:row r="26" ht="20.399999618530273" customHeight="1">
      <x:c r="A26" s="86"/>
      <x:c r="B26" s="86"/>
      <x:c r="C26" s="86"/>
      <x:c r="D26" s="86"/>
    </x:row>
    <x:row r="27" ht="18" customHeight="1">
      <x:c r="A27" s="70"/>
      <x:c r="B27" s="70"/>
      <x:c r="C27" s="70"/>
      <x:c r="D27" s="70"/>
    </x:row>
    <x:row r="28" ht="14.399999618530273" customHeight="1">
      <x:c r="A28" s="70"/>
      <x:c r="B28" s="70"/>
      <x:c r="C28" s="70"/>
      <x:c r="D28" s="70"/>
    </x:row>
    <x:row r="29">
      <x:c r="A29" s="70"/>
      <x:c r="B29" s="70"/>
      <x:c r="C29" s="70"/>
      <x:c r="D29" s="70"/>
    </x:row>
  </x:sheetData>
  <x:mergeCells>
    <x:mergeCell ref="B2:D2"/>
    <x:mergeCell ref="B10:D10"/>
    <x:mergeCell ref="A25:D26"/>
    <x:mergeCell ref="B18:D18"/>
    <x:mergeCell ref="B14:C14"/>
    <x:mergeCell ref="B17:C17"/>
    <x:mergeCell ref="B15:C15"/>
    <x:mergeCell ref="B16:C16"/>
    <x:mergeCell ref="B12:D12"/>
    <x:mergeCell ref="A11:D11"/>
  </x:mergeCells>
  <x:pageMargins left="0.7" right="0.7" top="0.75" bottom="0.75" header="0.3" footer="0.3"/>
  <x:drawing xmlns:r="http://schemas.openxmlformats.org/officeDocument/2006/relationships" r:id="Re82a64491f184c2c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28.77734375" customWidth="1"/>
    <x:col min="2" max="2" width="11.21875" customWidth="1"/>
    <x:col min="3" max="3" width="17.6640625" customWidth="1"/>
    <x:col min="4" max="4" width="4.5546875" customWidth="1"/>
    <x:col min="7" max="7" width="15.44140625" customWidth="1"/>
  </x:cols>
  <x:sheetData>
    <x:row r="1" ht="15"/>
    <x:row r="2">
      <x:c r="A2" s="24" t="s">
        <x:v>43</x:v>
      </x:c>
      <x:c r="B2" s="25" t="s">
        <x:v>15</x:v>
      </x:c>
      <x:c r="C2" s="25" t="s">
        <x:v>17</x:v>
      </x:c>
      <x:c r="D2" s="26" t="s">
        <x:v>44</x:v>
      </x:c>
    </x:row>
    <x:row r="3">
      <x:c r="A3" s="27" t="str">
        <x:f>B3&amp;"-"&amp;C3</x:f>
        <x:v>Conservador-PAPEL</x:v>
      </x:c>
      <x:c r="B3" s="28" t="s">
        <x:v>45</x:v>
      </x:c>
      <x:c r="C3" s="29" t="s">
        <x:v>20</x:v>
      </x:c>
      <x:c r="D3" s="30">
        <x:v>0.3</x:v>
      </x:c>
      <x:c r="H3" s="21" t="s">
        <x:v>44</x:v>
      </x:c>
    </x:row>
    <x:row r="4">
      <x:c r="A4" s="27" t="str">
        <x:f>B4&amp;"-"&amp;C4</x:f>
        <x:v>Conservador-TIJOLO</x:v>
      </x:c>
      <x:c r="B4" s="32" t="s">
        <x:v>45</x:v>
      </x:c>
      <x:c r="C4" s="33" t="s">
        <x:v>21</x:v>
      </x:c>
      <x:c r="D4" s="34">
        <x:v>0.5</x:v>
      </x:c>
      <x:c r="G4" s="22" t="s">
        <x:v>46</x:v>
      </x:c>
      <x:c r="H4" s="23" t="n">
        <x:f>VLOOKUP(G4,$A:$D,4,FALSE)</x:f>
        <x:v>0.35</x:v>
      </x:c>
    </x:row>
    <x:row r="5">
      <x:c r="A5" s="27" t="str">
        <x:f>B5&amp;"-"&amp;C5</x:f>
        <x:v>Conservador-HÍBRIDOS</x:v>
      </x:c>
      <x:c r="B5" s="32" t="s">
        <x:v>45</x:v>
      </x:c>
      <x:c r="C5" s="33" t="s">
        <x:v>22</x:v>
      </x:c>
      <x:c r="D5" s="34">
        <x:v>0.1</x:v>
      </x:c>
    </x:row>
    <x:row r="6">
      <x:c r="A6" s="27" t="str">
        <x:f>B6&amp;"-"&amp;C6</x:f>
        <x:v>Conservador-FOF</x:v>
      </x:c>
      <x:c r="B6" s="32" t="s">
        <x:v>45</x:v>
      </x:c>
      <x:c r="C6" s="33" t="s">
        <x:v>23</x:v>
      </x:c>
      <x:c r="D6" s="34">
        <x:v>0.1</x:v>
      </x:c>
    </x:row>
    <x:row r="7">
      <x:c r="A7" s="27" t="str">
        <x:f>B7&amp;"-"&amp;C7</x:f>
        <x:v>Conservador-DESENVOLVIMENTO</x:v>
      </x:c>
      <x:c r="B7" s="32" t="s">
        <x:v>45</x:v>
      </x:c>
      <x:c r="C7" s="33" t="s">
        <x:v>24</x:v>
      </x:c>
      <x:c r="D7" s="34">
        <x:v>0</x:v>
      </x:c>
    </x:row>
    <x:row r="8">
      <x:c r="A8" s="27" t="str">
        <x:f>B8&amp;"-"&amp;C8</x:f>
        <x:v>Conservador-HOTELARIAS</x:v>
      </x:c>
      <x:c r="B8" s="32" t="s">
        <x:v>45</x:v>
      </x:c>
      <x:c r="C8" s="33" t="s">
        <x:v>25</x:v>
      </x:c>
      <x:c r="D8" s="34">
        <x:v>0</x:v>
      </x:c>
    </x:row>
    <x:row r="9">
      <x:c r="A9" s="27" t="str">
        <x:f>B9&amp;"-"&amp;C9</x:f>
        <x:v>Moderado-PAPEL</x:v>
      </x:c>
      <x:c r="B9" s="32" t="s">
        <x:v>47</x:v>
      </x:c>
      <x:c r="C9" s="33" t="s">
        <x:v>20</x:v>
      </x:c>
      <x:c r="D9" s="34">
        <x:v>0.32</x:v>
      </x:c>
    </x:row>
    <x:row r="10">
      <x:c r="A10" s="27" t="str">
        <x:f>B10&amp;"-"&amp;C10</x:f>
        <x:v>Moderado-TIJOLO</x:v>
      </x:c>
      <x:c r="B10" s="32" t="s">
        <x:v>47</x:v>
      </x:c>
      <x:c r="C10" s="33" t="s">
        <x:v>21</x:v>
      </x:c>
      <x:c r="D10" s="34">
        <x:v>0.35</x:v>
      </x:c>
    </x:row>
    <x:row r="11">
      <x:c r="A11" s="27" t="str">
        <x:f>B11&amp;"-"&amp;C11</x:f>
        <x:v>Moderado-HÍBRIDOS</x:v>
      </x:c>
      <x:c r="B11" s="32" t="s">
        <x:v>47</x:v>
      </x:c>
      <x:c r="C11" s="33" t="s">
        <x:v>22</x:v>
      </x:c>
      <x:c r="D11" s="34">
        <x:v>0.08</x:v>
      </x:c>
    </x:row>
    <x:row r="12">
      <x:c r="A12" s="27" t="str">
        <x:f>B12&amp;"-"&amp;C12</x:f>
        <x:v>Moderado-FOF</x:v>
      </x:c>
      <x:c r="B12" s="32" t="s">
        <x:v>47</x:v>
      </x:c>
      <x:c r="C12" s="33" t="s">
        <x:v>23</x:v>
      </x:c>
      <x:c r="D12" s="34">
        <x:v>0.05</x:v>
      </x:c>
    </x:row>
    <x:row r="13">
      <x:c r="A13" s="27" t="str">
        <x:f>B13&amp;"-"&amp;C13</x:f>
        <x:v>Moderado-DESENVOLVIMENTO</x:v>
      </x:c>
      <x:c r="B13" s="32" t="s">
        <x:v>47</x:v>
      </x:c>
      <x:c r="C13" s="33" t="s">
        <x:v>24</x:v>
      </x:c>
      <x:c r="D13" s="34">
        <x:v>0.1</x:v>
      </x:c>
    </x:row>
    <x:row r="14">
      <x:c r="A14" s="27" t="str">
        <x:f>B14&amp;"-"&amp;C14</x:f>
        <x:v>Moderado-HOTELARIAS</x:v>
      </x:c>
      <x:c r="B14" s="32" t="s">
        <x:v>47</x:v>
      </x:c>
      <x:c r="C14" s="33" t="s">
        <x:v>25</x:v>
      </x:c>
      <x:c r="D14" s="34">
        <x:v>0.1</x:v>
      </x:c>
    </x:row>
    <x:row r="15">
      <x:c r="A15" s="27" t="str">
        <x:f>B15&amp;"-"&amp;C15</x:f>
        <x:v>Agressivo-PAPEL</x:v>
      </x:c>
      <x:c r="B15" s="32" t="s">
        <x:v>48</x:v>
      </x:c>
      <x:c r="C15" s="33" t="s">
        <x:v>20</x:v>
      </x:c>
      <x:c r="D15" s="34">
        <x:v>0.5</x:v>
      </x:c>
    </x:row>
    <x:row r="16">
      <x:c r="A16" s="27" t="str">
        <x:f>B16&amp;"-"&amp;C16</x:f>
        <x:v>Agressivo-TIJOLO</x:v>
      </x:c>
      <x:c r="B16" s="32" t="s">
        <x:v>48</x:v>
      </x:c>
      <x:c r="C16" s="33" t="s">
        <x:v>21</x:v>
      </x:c>
      <x:c r="D16" s="34">
        <x:v>0.1</x:v>
      </x:c>
    </x:row>
    <x:row r="17">
      <x:c r="A17" s="27" t="str">
        <x:f>B17&amp;"-"&amp;C17</x:f>
        <x:v>Agressivo-HÍBRIDOS</x:v>
      </x:c>
      <x:c r="B17" s="32" t="s">
        <x:v>48</x:v>
      </x:c>
      <x:c r="C17" s="33" t="s">
        <x:v>22</x:v>
      </x:c>
      <x:c r="D17" s="34">
        <x:v>0.05</x:v>
      </x:c>
    </x:row>
    <x:row r="18">
      <x:c r="A18" s="27" t="str">
        <x:f>B18&amp;"-"&amp;C18</x:f>
        <x:v>Agressivo-FOF</x:v>
      </x:c>
      <x:c r="B18" s="32" t="s">
        <x:v>48</x:v>
      </x:c>
      <x:c r="C18" s="33" t="s">
        <x:v>23</x:v>
      </x:c>
      <x:c r="D18" s="34">
        <x:v>0.05</x:v>
      </x:c>
    </x:row>
    <x:row r="19">
      <x:c r="A19" s="27" t="str">
        <x:f>B19&amp;"-"&amp;C19</x:f>
        <x:v>Agressivo-DESENVOLVIMENTO</x:v>
      </x:c>
      <x:c r="B19" s="32" t="s">
        <x:v>48</x:v>
      </x:c>
      <x:c r="C19" s="33" t="s">
        <x:v>24</x:v>
      </x:c>
      <x:c r="D19" s="34">
        <x:v>0.2</x:v>
      </x:c>
    </x:row>
    <x:row r="20" ht="15">
      <x:c r="A20" s="27" t="str">
        <x:f>B20&amp;"-"&amp;C20</x:f>
        <x:v>Agressivo-HOTELARIAS</x:v>
      </x:c>
      <x:c r="B20" s="36" t="s">
        <x:v>48</x:v>
      </x:c>
      <x:c r="C20" s="37" t="s">
        <x:v>25</x:v>
      </x:c>
      <x:c r="D20" s="38">
        <x:v>0.1</x:v>
      </x:c>
    </x:row>
  </x:sheetData>
  <x:pageMargins left="0.7" right="0.7" top="0.75" bottom="0.75" header="0.3" footer="0.3"/>
</x:worksheet>
</file>